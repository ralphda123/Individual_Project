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alph\Documents\Data Analytics Course\Generation\How to create a Portfolio\Submission\Individual Project\"/>
    </mc:Choice>
  </mc:AlternateContent>
  <xr:revisionPtr revIDLastSave="0" documentId="13_ncr:1_{0978EA8E-9229-4C60-82A5-7DB99264BE5A}" xr6:coauthVersionLast="47" xr6:coauthVersionMax="47" xr10:uidLastSave="{00000000-0000-0000-0000-000000000000}"/>
  <bookViews>
    <workbookView xWindow="-110" yWindow="-110" windowWidth="19420" windowHeight="11500" firstSheet="1" activeTab="2" xr2:uid="{55643E21-D93D-494F-9B8C-8ECD4CAE1365}"/>
  </bookViews>
  <sheets>
    <sheet name="Top 100 most Streamed - Sheet1" sheetId="2" r:id="rId1"/>
    <sheet name="Staging" sheetId="1" r:id="rId2"/>
    <sheet name="Dashboard" sheetId="3" r:id="rId3"/>
  </sheets>
  <definedNames>
    <definedName name="ExternalData_1" localSheetId="0" hidden="1">'Top 100 most Streamed - Sheet1'!$A$1:$N$101</definedName>
  </definedNames>
  <calcPr calcId="191029"/>
  <pivotCaches>
    <pivotCache cacheId="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A59B4A-A117-46CD-9FF2-E70D42CD47C1}" keepAlive="1" name="Query - Top 100 most Streamed - Sheet1" description="Connection to the 'Top 100 most Streamed - Sheet1' query in the workbook." type="5" refreshedVersion="8" background="1" saveData="1">
    <dbPr connection="Provider=Microsoft.Mashup.OleDb.1;Data Source=$Workbook$;Location=&quot;Top 100 most Streamed - Sheet1&quot;;Extended Properties=&quot;&quot;" command="SELECT * FROM [Top 100 most Streamed - Sheet1]"/>
  </connection>
</connections>
</file>

<file path=xl/sharedStrings.xml><?xml version="1.0" encoding="utf-8"?>
<sst xmlns="http://schemas.openxmlformats.org/spreadsheetml/2006/main" count="347" uniqueCount="227">
  <si>
    <t>title</t>
  </si>
  <si>
    <t>artist</t>
  </si>
  <si>
    <t>top genre</t>
  </si>
  <si>
    <t>year</t>
  </si>
  <si>
    <t>beats.per.minute</t>
  </si>
  <si>
    <t>energy</t>
  </si>
  <si>
    <t>danceability</t>
  </si>
  <si>
    <t>loudness.dB</t>
  </si>
  <si>
    <t>liveness</t>
  </si>
  <si>
    <t>valance</t>
  </si>
  <si>
    <t>length</t>
  </si>
  <si>
    <t>acousticness</t>
  </si>
  <si>
    <t>speechiness</t>
  </si>
  <si>
    <t>popularity</t>
  </si>
  <si>
    <t>Blinding Lights</t>
  </si>
  <si>
    <t>The Weeknd</t>
  </si>
  <si>
    <t>canadian contemporary r&amp;b</t>
  </si>
  <si>
    <t>Watermelon Sugar</t>
  </si>
  <si>
    <t>Harry Styles</t>
  </si>
  <si>
    <t>pop</t>
  </si>
  <si>
    <t>Mood (feat. iann dior)</t>
  </si>
  <si>
    <t>24kGoldn</t>
  </si>
  <si>
    <t>cali rap</t>
  </si>
  <si>
    <t>Someone You Loved</t>
  </si>
  <si>
    <t>Lewis Capaldi</t>
  </si>
  <si>
    <t>Perfect</t>
  </si>
  <si>
    <t>Ed Sheeran</t>
  </si>
  <si>
    <t>Believer</t>
  </si>
  <si>
    <t>Imagine Dragons</t>
  </si>
  <si>
    <t>modern rock</t>
  </si>
  <si>
    <t>lovely (with Khalid)</t>
  </si>
  <si>
    <t>Billie Eilish</t>
  </si>
  <si>
    <t>electropop</t>
  </si>
  <si>
    <t>Circles</t>
  </si>
  <si>
    <t>Post Malone</t>
  </si>
  <si>
    <t>dfw rap</t>
  </si>
  <si>
    <t>Shape of You</t>
  </si>
  <si>
    <t>Memories</t>
  </si>
  <si>
    <t>Maroon 5</t>
  </si>
  <si>
    <t>Closer</t>
  </si>
  <si>
    <t>The Chainsmokers</t>
  </si>
  <si>
    <t>dance pop</t>
  </si>
  <si>
    <t>bad guy</t>
  </si>
  <si>
    <t>Say You Won't Let Go</t>
  </si>
  <si>
    <t>James Arthur</t>
  </si>
  <si>
    <t>Lucid Dreams</t>
  </si>
  <si>
    <t>Juice WRLD</t>
  </si>
  <si>
    <t>chicago rap</t>
  </si>
  <si>
    <t>All of Me</t>
  </si>
  <si>
    <t>John Legend</t>
  </si>
  <si>
    <t>neo soul</t>
  </si>
  <si>
    <t>7 rings</t>
  </si>
  <si>
    <t>Ariana Grande</t>
  </si>
  <si>
    <t>Jocelyn Flores</t>
  </si>
  <si>
    <t>XXXTENTACION</t>
  </si>
  <si>
    <t>emo rap</t>
  </si>
  <si>
    <t>goosebumps</t>
  </si>
  <si>
    <t>Travis Scott</t>
  </si>
  <si>
    <t>rap</t>
  </si>
  <si>
    <t>Wake Me Up</t>
  </si>
  <si>
    <t>Avicii</t>
  </si>
  <si>
    <t>ROCKSTAR (feat. Roddy Ricch)</t>
  </si>
  <si>
    <t>DaBaby</t>
  </si>
  <si>
    <t>north carolina hip hop</t>
  </si>
  <si>
    <t>rockstar (feat. 21 Savage)</t>
  </si>
  <si>
    <t>Photograph</t>
  </si>
  <si>
    <t>SAD!</t>
  </si>
  <si>
    <t>SICKO MODE</t>
  </si>
  <si>
    <t>Stressed Out</t>
  </si>
  <si>
    <t>Twenty One Pilots</t>
  </si>
  <si>
    <t>Roses - Imanbek Remix</t>
  </si>
  <si>
    <t>SAINt JHN</t>
  </si>
  <si>
    <t>melodic rap</t>
  </si>
  <si>
    <t>The Box</t>
  </si>
  <si>
    <t>Roddy Ricch</t>
  </si>
  <si>
    <t>The Hills</t>
  </si>
  <si>
    <t>Sunflower - Spider-Man: Into the Spider-Verse</t>
  </si>
  <si>
    <t>Thinking out Loud</t>
  </si>
  <si>
    <t>Starboy</t>
  </si>
  <si>
    <t>Love Yourself</t>
  </si>
  <si>
    <t>Justin Bieber</t>
  </si>
  <si>
    <t>canadian pop</t>
  </si>
  <si>
    <t>Something Just Like This</t>
  </si>
  <si>
    <t>Shallow</t>
  </si>
  <si>
    <t>Lady Gaga</t>
  </si>
  <si>
    <t>Thunder</t>
  </si>
  <si>
    <t>XO Tour Llif3</t>
  </si>
  <si>
    <t>Lil Uzi Vert</t>
  </si>
  <si>
    <t>Take Me To Church</t>
  </si>
  <si>
    <t>Hozier</t>
  </si>
  <si>
    <t>irish singer-songwriter</t>
  </si>
  <si>
    <t>Happier</t>
  </si>
  <si>
    <t>Marshmello</t>
  </si>
  <si>
    <t>brostep</t>
  </si>
  <si>
    <t>thank u, next</t>
  </si>
  <si>
    <t>Counting Stars</t>
  </si>
  <si>
    <t>OneRepublic</t>
  </si>
  <si>
    <t>Can't Hold Us - feat. Ray Dalton</t>
  </si>
  <si>
    <t>Macklemore &amp; Ryan Lewis</t>
  </si>
  <si>
    <t>pop rap</t>
  </si>
  <si>
    <t>Señorita</t>
  </si>
  <si>
    <t>Shawn Mendes</t>
  </si>
  <si>
    <t>God's Plan</t>
  </si>
  <si>
    <t>Drake</t>
  </si>
  <si>
    <t>canadian hip hop</t>
  </si>
  <si>
    <t>Don't Start Now</t>
  </si>
  <si>
    <t>Dua Lipa</t>
  </si>
  <si>
    <t>Bohemian Rhapsody - Remastered 2011</t>
  </si>
  <si>
    <t>Queen</t>
  </si>
  <si>
    <t>classic rock</t>
  </si>
  <si>
    <t>HUMBLE.</t>
  </si>
  <si>
    <t>Kendrick Lamar</t>
  </si>
  <si>
    <t>conscious hip hop</t>
  </si>
  <si>
    <t>Let Me Love You</t>
  </si>
  <si>
    <t>DJ Snake</t>
  </si>
  <si>
    <t>Congratulations</t>
  </si>
  <si>
    <t>Stay With Me</t>
  </si>
  <si>
    <t>Sam Smith</t>
  </si>
  <si>
    <t>Treat You Better</t>
  </si>
  <si>
    <t>Uptown Funk (feat. Bruno Mars)</t>
  </si>
  <si>
    <t>Mark Ronson</t>
  </si>
  <si>
    <t>I Like Me Better</t>
  </si>
  <si>
    <t>Lauv</t>
  </si>
  <si>
    <t>when the party's over</t>
  </si>
  <si>
    <t>Mr. Brightside</t>
  </si>
  <si>
    <t>The Killers</t>
  </si>
  <si>
    <t>alternative rock</t>
  </si>
  <si>
    <t>Dance Monkey</t>
  </si>
  <si>
    <t>Tones And I</t>
  </si>
  <si>
    <t>australian pop</t>
  </si>
  <si>
    <t>Havana (feat. Young Thug)</t>
  </si>
  <si>
    <t>Camila Cabello</t>
  </si>
  <si>
    <t>Better Now</t>
  </si>
  <si>
    <t>I Don't Care (with Justin Bieber)</t>
  </si>
  <si>
    <t>Unforgettable</t>
  </si>
  <si>
    <t>French Montana</t>
  </si>
  <si>
    <t>gangster rap</t>
  </si>
  <si>
    <t>Too Good At Goodbyes</t>
  </si>
  <si>
    <t>Riptide</t>
  </si>
  <si>
    <t>Vance Joy</t>
  </si>
  <si>
    <t>folk-pop</t>
  </si>
  <si>
    <t>That's What I Like</t>
  </si>
  <si>
    <t>Bruno Mars</t>
  </si>
  <si>
    <t>See You Again (feat. Charlie Puth)</t>
  </si>
  <si>
    <t>Wiz Khalifa</t>
  </si>
  <si>
    <t>One Kiss (with Dua Lipa)</t>
  </si>
  <si>
    <t>Calvin Harris</t>
  </si>
  <si>
    <t>Heathens</t>
  </si>
  <si>
    <t>Demons</t>
  </si>
  <si>
    <t>Youngblood</t>
  </si>
  <si>
    <t>5 Seconds of Summer</t>
  </si>
  <si>
    <t>boy band</t>
  </si>
  <si>
    <t>Old Town Road - Remix</t>
  </si>
  <si>
    <t>Lil Nas X</t>
  </si>
  <si>
    <t>lgbtq+ hip hop</t>
  </si>
  <si>
    <t>I'm Yours</t>
  </si>
  <si>
    <t>Jason Mraz</t>
  </si>
  <si>
    <t>acoustic pop</t>
  </si>
  <si>
    <t>Attention</t>
  </si>
  <si>
    <t>Charlie Puth</t>
  </si>
  <si>
    <t>New Rules</t>
  </si>
  <si>
    <t>Sorry</t>
  </si>
  <si>
    <t>Don't Let Me Down</t>
  </si>
  <si>
    <t>7 Years</t>
  </si>
  <si>
    <t>Lukas Graham</t>
  </si>
  <si>
    <t>danish pop</t>
  </si>
  <si>
    <t>I Like It</t>
  </si>
  <si>
    <t>Cardi B</t>
  </si>
  <si>
    <t>I Fall Apart</t>
  </si>
  <si>
    <t>We Don't Talk Anymore (feat. Selena Gomez)</t>
  </si>
  <si>
    <t>Can't Feel My Face</t>
  </si>
  <si>
    <t>Despacito</t>
  </si>
  <si>
    <t>Luis Fonsi</t>
  </si>
  <si>
    <t>latin</t>
  </si>
  <si>
    <t>Psycho (feat. Ty Dolla $ign)</t>
  </si>
  <si>
    <t>Stitches</t>
  </si>
  <si>
    <t>What Do You Mean?</t>
  </si>
  <si>
    <t>Wonderwall - Remastered</t>
  </si>
  <si>
    <t>Oasis</t>
  </si>
  <si>
    <t>beatlesque</t>
  </si>
  <si>
    <t>Radioactive</t>
  </si>
  <si>
    <t>Eastside (with Halsey &amp; Khalid)</t>
  </si>
  <si>
    <t>benny blanco</t>
  </si>
  <si>
    <t>Cheerleader - Felix Jaehn Remix Radio Edit</t>
  </si>
  <si>
    <t>OMI</t>
  </si>
  <si>
    <t>Cheap Thrills</t>
  </si>
  <si>
    <t>Sia</t>
  </si>
  <si>
    <t>australian dance</t>
  </si>
  <si>
    <t>Girls Like You (feat. Cardi B) - Cardi B Version</t>
  </si>
  <si>
    <t>Faded</t>
  </si>
  <si>
    <t>Alan Walker</t>
  </si>
  <si>
    <t>electro house</t>
  </si>
  <si>
    <t>Let Her Go</t>
  </si>
  <si>
    <t>Passenger</t>
  </si>
  <si>
    <t>CAN'T STOP THE FEELING! (from DreamWorks Animation's "TROLLS")</t>
  </si>
  <si>
    <t>Justin Timberlake</t>
  </si>
  <si>
    <t>Lean On</t>
  </si>
  <si>
    <t>Major Lazer</t>
  </si>
  <si>
    <t>Despacito - Remix</t>
  </si>
  <si>
    <t>Lose Yourself</t>
  </si>
  <si>
    <t>Eminem</t>
  </si>
  <si>
    <t>detroit hip hop</t>
  </si>
  <si>
    <t>Without Me (with Juice WRLD)</t>
  </si>
  <si>
    <t>Halsey</t>
  </si>
  <si>
    <t>One Dance</t>
  </si>
  <si>
    <t>Sugar</t>
  </si>
  <si>
    <t>Emotions</t>
  </si>
  <si>
    <t>Mark Mendy</t>
  </si>
  <si>
    <t>pop dance</t>
  </si>
  <si>
    <t>Cold Water</t>
  </si>
  <si>
    <t>I Took A Pill In Ibiza - Seeb Remix</t>
  </si>
  <si>
    <t>Mike Posner</t>
  </si>
  <si>
    <t>Row Labels</t>
  </si>
  <si>
    <t>Grand Total</t>
  </si>
  <si>
    <t>Average of energy</t>
  </si>
  <si>
    <t>Average of danceability</t>
  </si>
  <si>
    <t>Average of liveness</t>
  </si>
  <si>
    <t>Average of valance</t>
  </si>
  <si>
    <t>Average of acousticness</t>
  </si>
  <si>
    <t>Average of speechiness</t>
  </si>
  <si>
    <t>1975-1986</t>
  </si>
  <si>
    <t>1987-1998</t>
  </si>
  <si>
    <t>1999-2010</t>
  </si>
  <si>
    <t>2011-2022</t>
  </si>
  <si>
    <t>Average of loudness.dB</t>
  </si>
  <si>
    <t>Average of beats.per.minute</t>
  </si>
  <si>
    <t>Average of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</si>
</sst>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cellXfs>
  <cellStyles count="1">
    <cellStyle name="Normal" xfId="0" builtinId="0"/>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[Music trends - variables.xlsx]Staging!PivotTable3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000000"/>
                </a:solidFill>
                <a:uFillTx/>
                <a:latin typeface="Aptos Narrow"/>
              </a:rPr>
              <a:t>Average Value of Music Variables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Staging!$B$3</c:f>
              <c:strCache>
                <c:ptCount val="1"/>
                <c:pt idx="0">
                  <c:v>Average of energy</c:v>
                </c:pt>
              </c:strCache>
            </c:strRef>
          </c:tx>
          <c:spPr>
            <a:ln w="28575" cap="rnd">
              <a:solidFill>
                <a:schemeClr val="accent1"/>
              </a:solidFill>
              <a:round/>
            </a:ln>
            <a:effectLst/>
          </c:spPr>
          <c:marker>
            <c:symbol val="none"/>
          </c:marker>
          <c:cat>
            <c:strRef>
              <c:f>Staging!$A$4:$A$8</c:f>
              <c:strCache>
                <c:ptCount val="4"/>
                <c:pt idx="0">
                  <c:v>1975-1986</c:v>
                </c:pt>
                <c:pt idx="1">
                  <c:v>1987-1998</c:v>
                </c:pt>
                <c:pt idx="2">
                  <c:v>1999-2010</c:v>
                </c:pt>
                <c:pt idx="3">
                  <c:v>2011-2022</c:v>
                </c:pt>
              </c:strCache>
            </c:strRef>
          </c:cat>
          <c:val>
            <c:numRef>
              <c:f>Staging!$B$4:$B$8</c:f>
              <c:numCache>
                <c:formatCode>General</c:formatCode>
                <c:ptCount val="4"/>
                <c:pt idx="0">
                  <c:v>40</c:v>
                </c:pt>
                <c:pt idx="1">
                  <c:v>90</c:v>
                </c:pt>
                <c:pt idx="2">
                  <c:v>68.5</c:v>
                </c:pt>
                <c:pt idx="3">
                  <c:v>62.510416666666664</c:v>
                </c:pt>
              </c:numCache>
            </c:numRef>
          </c:val>
          <c:smooth val="0"/>
          <c:extLst>
            <c:ext xmlns:c16="http://schemas.microsoft.com/office/drawing/2014/chart" uri="{C3380CC4-5D6E-409C-BE32-E72D297353CC}">
              <c16:uniqueId val="{00000000-A68E-49B2-93A0-BB70DC3F1C99}"/>
            </c:ext>
          </c:extLst>
        </c:ser>
        <c:ser>
          <c:idx val="1"/>
          <c:order val="1"/>
          <c:tx>
            <c:strRef>
              <c:f>Staging!$C$3</c:f>
              <c:strCache>
                <c:ptCount val="1"/>
                <c:pt idx="0">
                  <c:v>Average of danceability</c:v>
                </c:pt>
              </c:strCache>
            </c:strRef>
          </c:tx>
          <c:spPr>
            <a:ln w="28575" cap="rnd">
              <a:solidFill>
                <a:schemeClr val="accent2"/>
              </a:solidFill>
              <a:round/>
            </a:ln>
            <a:effectLst/>
          </c:spPr>
          <c:marker>
            <c:symbol val="none"/>
          </c:marker>
          <c:cat>
            <c:strRef>
              <c:f>Staging!$A$4:$A$8</c:f>
              <c:strCache>
                <c:ptCount val="4"/>
                <c:pt idx="0">
                  <c:v>1975-1986</c:v>
                </c:pt>
                <c:pt idx="1">
                  <c:v>1987-1998</c:v>
                </c:pt>
                <c:pt idx="2">
                  <c:v>1999-2010</c:v>
                </c:pt>
                <c:pt idx="3">
                  <c:v>2011-2022</c:v>
                </c:pt>
              </c:strCache>
            </c:strRef>
          </c:cat>
          <c:val>
            <c:numRef>
              <c:f>Staging!$C$4:$C$8</c:f>
              <c:numCache>
                <c:formatCode>General</c:formatCode>
                <c:ptCount val="4"/>
                <c:pt idx="0">
                  <c:v>41</c:v>
                </c:pt>
                <c:pt idx="1">
                  <c:v>38</c:v>
                </c:pt>
                <c:pt idx="2">
                  <c:v>52</c:v>
                </c:pt>
                <c:pt idx="3">
                  <c:v>67.84375</c:v>
                </c:pt>
              </c:numCache>
            </c:numRef>
          </c:val>
          <c:smooth val="0"/>
          <c:extLst>
            <c:ext xmlns:c16="http://schemas.microsoft.com/office/drawing/2014/chart" uri="{C3380CC4-5D6E-409C-BE32-E72D297353CC}">
              <c16:uniqueId val="{00000001-A68E-49B2-93A0-BB70DC3F1C99}"/>
            </c:ext>
          </c:extLst>
        </c:ser>
        <c:ser>
          <c:idx val="2"/>
          <c:order val="2"/>
          <c:tx>
            <c:strRef>
              <c:f>Staging!$D$3</c:f>
              <c:strCache>
                <c:ptCount val="1"/>
                <c:pt idx="0">
                  <c:v>Average of liveness</c:v>
                </c:pt>
              </c:strCache>
            </c:strRef>
          </c:tx>
          <c:spPr>
            <a:ln w="28575" cap="rnd">
              <a:solidFill>
                <a:schemeClr val="accent3"/>
              </a:solidFill>
              <a:round/>
            </a:ln>
            <a:effectLst/>
          </c:spPr>
          <c:marker>
            <c:symbol val="none"/>
          </c:marker>
          <c:cat>
            <c:strRef>
              <c:f>Staging!$A$4:$A$8</c:f>
              <c:strCache>
                <c:ptCount val="4"/>
                <c:pt idx="0">
                  <c:v>1975-1986</c:v>
                </c:pt>
                <c:pt idx="1">
                  <c:v>1987-1998</c:v>
                </c:pt>
                <c:pt idx="2">
                  <c:v>1999-2010</c:v>
                </c:pt>
                <c:pt idx="3">
                  <c:v>2011-2022</c:v>
                </c:pt>
              </c:strCache>
            </c:strRef>
          </c:cat>
          <c:val>
            <c:numRef>
              <c:f>Staging!$D$4:$D$8</c:f>
              <c:numCache>
                <c:formatCode>General</c:formatCode>
                <c:ptCount val="4"/>
                <c:pt idx="0">
                  <c:v>30</c:v>
                </c:pt>
                <c:pt idx="1">
                  <c:v>19</c:v>
                </c:pt>
                <c:pt idx="2">
                  <c:v>10.5</c:v>
                </c:pt>
                <c:pt idx="3">
                  <c:v>16.833333333333332</c:v>
                </c:pt>
              </c:numCache>
            </c:numRef>
          </c:val>
          <c:smooth val="0"/>
          <c:extLst>
            <c:ext xmlns:c16="http://schemas.microsoft.com/office/drawing/2014/chart" uri="{C3380CC4-5D6E-409C-BE32-E72D297353CC}">
              <c16:uniqueId val="{00000002-A68E-49B2-93A0-BB70DC3F1C99}"/>
            </c:ext>
          </c:extLst>
        </c:ser>
        <c:ser>
          <c:idx val="3"/>
          <c:order val="3"/>
          <c:tx>
            <c:strRef>
              <c:f>Staging!$E$3</c:f>
              <c:strCache>
                <c:ptCount val="1"/>
                <c:pt idx="0">
                  <c:v>Average of valance</c:v>
                </c:pt>
              </c:strCache>
            </c:strRef>
          </c:tx>
          <c:spPr>
            <a:ln w="28575" cap="rnd">
              <a:solidFill>
                <a:schemeClr val="accent4"/>
              </a:solidFill>
              <a:round/>
            </a:ln>
            <a:effectLst/>
          </c:spPr>
          <c:marker>
            <c:symbol val="none"/>
          </c:marker>
          <c:cat>
            <c:strRef>
              <c:f>Staging!$A$4:$A$8</c:f>
              <c:strCache>
                <c:ptCount val="4"/>
                <c:pt idx="0">
                  <c:v>1975-1986</c:v>
                </c:pt>
                <c:pt idx="1">
                  <c:v>1987-1998</c:v>
                </c:pt>
                <c:pt idx="2">
                  <c:v>1999-2010</c:v>
                </c:pt>
                <c:pt idx="3">
                  <c:v>2011-2022</c:v>
                </c:pt>
              </c:strCache>
            </c:strRef>
          </c:cat>
          <c:val>
            <c:numRef>
              <c:f>Staging!$E$4:$E$8</c:f>
              <c:numCache>
                <c:formatCode>General</c:formatCode>
                <c:ptCount val="4"/>
                <c:pt idx="0">
                  <c:v>22</c:v>
                </c:pt>
                <c:pt idx="1">
                  <c:v>47</c:v>
                </c:pt>
                <c:pt idx="2">
                  <c:v>48</c:v>
                </c:pt>
                <c:pt idx="3">
                  <c:v>50.333333333333336</c:v>
                </c:pt>
              </c:numCache>
            </c:numRef>
          </c:val>
          <c:smooth val="0"/>
          <c:extLst>
            <c:ext xmlns:c16="http://schemas.microsoft.com/office/drawing/2014/chart" uri="{C3380CC4-5D6E-409C-BE32-E72D297353CC}">
              <c16:uniqueId val="{00000003-A68E-49B2-93A0-BB70DC3F1C99}"/>
            </c:ext>
          </c:extLst>
        </c:ser>
        <c:ser>
          <c:idx val="4"/>
          <c:order val="4"/>
          <c:tx>
            <c:strRef>
              <c:f>Staging!$F$3</c:f>
              <c:strCache>
                <c:ptCount val="1"/>
                <c:pt idx="0">
                  <c:v>Average of acousticness</c:v>
                </c:pt>
              </c:strCache>
            </c:strRef>
          </c:tx>
          <c:spPr>
            <a:ln w="28575" cap="rnd">
              <a:solidFill>
                <a:schemeClr val="accent5"/>
              </a:solidFill>
              <a:round/>
            </a:ln>
            <a:effectLst/>
          </c:spPr>
          <c:marker>
            <c:symbol val="none"/>
          </c:marker>
          <c:cat>
            <c:strRef>
              <c:f>Staging!$A$4:$A$8</c:f>
              <c:strCache>
                <c:ptCount val="4"/>
                <c:pt idx="0">
                  <c:v>1975-1986</c:v>
                </c:pt>
                <c:pt idx="1">
                  <c:v>1987-1998</c:v>
                </c:pt>
                <c:pt idx="2">
                  <c:v>1999-2010</c:v>
                </c:pt>
                <c:pt idx="3">
                  <c:v>2011-2022</c:v>
                </c:pt>
              </c:strCache>
            </c:strRef>
          </c:cat>
          <c:val>
            <c:numRef>
              <c:f>Staging!$F$4:$F$8</c:f>
              <c:numCache>
                <c:formatCode>General</c:formatCode>
                <c:ptCount val="4"/>
                <c:pt idx="0">
                  <c:v>27</c:v>
                </c:pt>
                <c:pt idx="1">
                  <c:v>0</c:v>
                </c:pt>
                <c:pt idx="2">
                  <c:v>30</c:v>
                </c:pt>
                <c:pt idx="3">
                  <c:v>25.083333333333332</c:v>
                </c:pt>
              </c:numCache>
            </c:numRef>
          </c:val>
          <c:smooth val="0"/>
          <c:extLst>
            <c:ext xmlns:c16="http://schemas.microsoft.com/office/drawing/2014/chart" uri="{C3380CC4-5D6E-409C-BE32-E72D297353CC}">
              <c16:uniqueId val="{00000004-A68E-49B2-93A0-BB70DC3F1C99}"/>
            </c:ext>
          </c:extLst>
        </c:ser>
        <c:ser>
          <c:idx val="5"/>
          <c:order val="5"/>
          <c:tx>
            <c:strRef>
              <c:f>Staging!$G$3</c:f>
              <c:strCache>
                <c:ptCount val="1"/>
                <c:pt idx="0">
                  <c:v>Average of speechiness</c:v>
                </c:pt>
              </c:strCache>
            </c:strRef>
          </c:tx>
          <c:spPr>
            <a:ln w="28575" cap="rnd">
              <a:solidFill>
                <a:schemeClr val="accent6"/>
              </a:solidFill>
              <a:round/>
            </a:ln>
            <a:effectLst/>
          </c:spPr>
          <c:marker>
            <c:symbol val="none"/>
          </c:marker>
          <c:cat>
            <c:strRef>
              <c:f>Staging!$A$4:$A$8</c:f>
              <c:strCache>
                <c:ptCount val="4"/>
                <c:pt idx="0">
                  <c:v>1975-1986</c:v>
                </c:pt>
                <c:pt idx="1">
                  <c:v>1987-1998</c:v>
                </c:pt>
                <c:pt idx="2">
                  <c:v>1999-2010</c:v>
                </c:pt>
                <c:pt idx="3">
                  <c:v>2011-2022</c:v>
                </c:pt>
              </c:strCache>
            </c:strRef>
          </c:cat>
          <c:val>
            <c:numRef>
              <c:f>Staging!$G$4:$G$8</c:f>
              <c:numCache>
                <c:formatCode>General</c:formatCode>
                <c:ptCount val="4"/>
                <c:pt idx="0">
                  <c:v>5</c:v>
                </c:pt>
                <c:pt idx="1">
                  <c:v>4</c:v>
                </c:pt>
                <c:pt idx="2">
                  <c:v>6</c:v>
                </c:pt>
                <c:pt idx="3">
                  <c:v>10.125</c:v>
                </c:pt>
              </c:numCache>
            </c:numRef>
          </c:val>
          <c:smooth val="0"/>
          <c:extLst>
            <c:ext xmlns:c16="http://schemas.microsoft.com/office/drawing/2014/chart" uri="{C3380CC4-5D6E-409C-BE32-E72D297353CC}">
              <c16:uniqueId val="{00000005-A68E-49B2-93A0-BB70DC3F1C99}"/>
            </c:ext>
          </c:extLst>
        </c:ser>
        <c:dLbls>
          <c:showLegendKey val="0"/>
          <c:showVal val="0"/>
          <c:showCatName val="0"/>
          <c:showSerName val="0"/>
          <c:showPercent val="0"/>
          <c:showBubbleSize val="0"/>
        </c:dLbls>
        <c:smooth val="0"/>
        <c:axId val="646006303"/>
        <c:axId val="646006783"/>
      </c:lineChart>
      <c:catAx>
        <c:axId val="64600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6783"/>
        <c:crosses val="autoZero"/>
        <c:auto val="1"/>
        <c:lblAlgn val="ctr"/>
        <c:lblOffset val="100"/>
        <c:noMultiLvlLbl val="0"/>
      </c:catAx>
      <c:valAx>
        <c:axId val="64600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cap="none" spc="0" baseline="0">
                    <a:solidFill>
                      <a:srgbClr val="000000"/>
                    </a:solidFill>
                    <a:uFillTx/>
                    <a:latin typeface="Aptos Narrow"/>
                  </a:rPr>
                  <a:t>Average Value of the Music Variables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[Music trends - variables.xlsx]Staging!PivotTable4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cap="none" spc="0" baseline="0">
                <a:solidFill>
                  <a:srgbClr val="000000"/>
                </a:solidFill>
                <a:uFillTx/>
                <a:latin typeface="Aptos Narrow"/>
              </a:rPr>
              <a:t>Average Beats per Minute (bpm) of Songs over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Staging!$B$11</c:f>
              <c:strCache>
                <c:ptCount val="1"/>
                <c:pt idx="0">
                  <c:v>Total</c:v>
                </c:pt>
              </c:strCache>
            </c:strRef>
          </c:tx>
          <c:spPr>
            <a:ln w="28575" cap="rnd">
              <a:solidFill>
                <a:schemeClr val="accent1"/>
              </a:solidFill>
              <a:round/>
            </a:ln>
            <a:effectLst/>
          </c:spPr>
          <c:marker>
            <c:symbol val="none"/>
          </c:marker>
          <c:cat>
            <c:strRef>
              <c:f>Staging!$A$12:$A$16</c:f>
              <c:strCache>
                <c:ptCount val="4"/>
                <c:pt idx="0">
                  <c:v>1975-1986</c:v>
                </c:pt>
                <c:pt idx="1">
                  <c:v>1987-1998</c:v>
                </c:pt>
                <c:pt idx="2">
                  <c:v>1999-2010</c:v>
                </c:pt>
                <c:pt idx="3">
                  <c:v>2011-2022</c:v>
                </c:pt>
              </c:strCache>
            </c:strRef>
          </c:cat>
          <c:val>
            <c:numRef>
              <c:f>Staging!$B$12:$B$16</c:f>
              <c:numCache>
                <c:formatCode>General</c:formatCode>
                <c:ptCount val="4"/>
                <c:pt idx="0">
                  <c:v>71</c:v>
                </c:pt>
                <c:pt idx="1">
                  <c:v>174</c:v>
                </c:pt>
                <c:pt idx="2">
                  <c:v>149.5</c:v>
                </c:pt>
                <c:pt idx="3">
                  <c:v>116.17708333333333</c:v>
                </c:pt>
              </c:numCache>
            </c:numRef>
          </c:val>
          <c:smooth val="0"/>
          <c:extLst>
            <c:ext xmlns:c16="http://schemas.microsoft.com/office/drawing/2014/chart" uri="{C3380CC4-5D6E-409C-BE32-E72D297353CC}">
              <c16:uniqueId val="{00000000-A7AE-467A-BCB1-D1796F27F330}"/>
            </c:ext>
          </c:extLst>
        </c:ser>
        <c:dLbls>
          <c:showLegendKey val="0"/>
          <c:showVal val="0"/>
          <c:showCatName val="0"/>
          <c:showSerName val="0"/>
          <c:showPercent val="0"/>
          <c:showBubbleSize val="0"/>
        </c:dLbls>
        <c:smooth val="0"/>
        <c:axId val="646007743"/>
        <c:axId val="646008223"/>
      </c:lineChart>
      <c:catAx>
        <c:axId val="64600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8223"/>
        <c:crosses val="autoZero"/>
        <c:auto val="1"/>
        <c:lblAlgn val="ctr"/>
        <c:lblOffset val="100"/>
        <c:noMultiLvlLbl val="0"/>
      </c:catAx>
      <c:valAx>
        <c:axId val="646008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cap="none" spc="0" baseline="0">
                    <a:solidFill>
                      <a:srgbClr val="000000"/>
                    </a:solidFill>
                    <a:uFillTx/>
                    <a:latin typeface="Aptos Narrow"/>
                  </a:rPr>
                  <a:t>Average bpm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[Music trends - variables.xlsx]Staging!PivotTable5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cap="none" spc="0" baseline="0">
                <a:solidFill>
                  <a:srgbClr val="000000"/>
                </a:solidFill>
                <a:uFillTx/>
                <a:latin typeface="Aptos Narrow"/>
              </a:rPr>
              <a:t>Loudness of Songs over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Staging!$B$19</c:f>
              <c:strCache>
                <c:ptCount val="1"/>
                <c:pt idx="0">
                  <c:v>Total</c:v>
                </c:pt>
              </c:strCache>
            </c:strRef>
          </c:tx>
          <c:spPr>
            <a:ln w="28575" cap="rnd">
              <a:solidFill>
                <a:schemeClr val="accent1"/>
              </a:solidFill>
              <a:round/>
            </a:ln>
            <a:effectLst/>
          </c:spPr>
          <c:marker>
            <c:symbol val="none"/>
          </c:marker>
          <c:cat>
            <c:strRef>
              <c:f>Staging!$A$20:$A$24</c:f>
              <c:strCache>
                <c:ptCount val="4"/>
                <c:pt idx="0">
                  <c:v>1975-1986</c:v>
                </c:pt>
                <c:pt idx="1">
                  <c:v>1987-1998</c:v>
                </c:pt>
                <c:pt idx="2">
                  <c:v>1999-2010</c:v>
                </c:pt>
                <c:pt idx="3">
                  <c:v>2011-2022</c:v>
                </c:pt>
              </c:strCache>
            </c:strRef>
          </c:cat>
          <c:val>
            <c:numRef>
              <c:f>Staging!$B$20:$B$24</c:f>
              <c:numCache>
                <c:formatCode>General</c:formatCode>
                <c:ptCount val="4"/>
                <c:pt idx="0">
                  <c:v>-10</c:v>
                </c:pt>
                <c:pt idx="1">
                  <c:v>-4</c:v>
                </c:pt>
                <c:pt idx="2">
                  <c:v>-6.5</c:v>
                </c:pt>
                <c:pt idx="3">
                  <c:v>-6.072916666666667</c:v>
                </c:pt>
              </c:numCache>
            </c:numRef>
          </c:val>
          <c:smooth val="0"/>
          <c:extLst>
            <c:ext xmlns:c16="http://schemas.microsoft.com/office/drawing/2014/chart" uri="{C3380CC4-5D6E-409C-BE32-E72D297353CC}">
              <c16:uniqueId val="{00000000-64F4-48EE-88BD-C8E4EC65BD37}"/>
            </c:ext>
          </c:extLst>
        </c:ser>
        <c:dLbls>
          <c:showLegendKey val="0"/>
          <c:showVal val="0"/>
          <c:showCatName val="0"/>
          <c:showSerName val="0"/>
          <c:showPercent val="0"/>
          <c:showBubbleSize val="0"/>
        </c:dLbls>
        <c:smooth val="0"/>
        <c:axId val="639887055"/>
        <c:axId val="639887535"/>
      </c:lineChart>
      <c:catAx>
        <c:axId val="63988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87535"/>
        <c:crosses val="autoZero"/>
        <c:auto val="1"/>
        <c:lblAlgn val="ctr"/>
        <c:lblOffset val="100"/>
        <c:noMultiLvlLbl val="0"/>
      </c:catAx>
      <c:valAx>
        <c:axId val="63988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cap="none" spc="0" baseline="0">
                    <a:solidFill>
                      <a:srgbClr val="000000"/>
                    </a:solidFill>
                    <a:uFillTx/>
                    <a:latin typeface="Aptos Narrow"/>
                  </a:rPr>
                  <a:t>Loudness (.dB)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[Music trends - variables.xlsx]Staging!PivotTable6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cap="none" spc="0" baseline="0">
                <a:solidFill>
                  <a:srgbClr val="000000"/>
                </a:solidFill>
                <a:uFillTx/>
                <a:latin typeface="Aptos Narrow"/>
              </a:rPr>
              <a:t>Average Duration of Songs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Staging!$B$27</c:f>
              <c:strCache>
                <c:ptCount val="1"/>
                <c:pt idx="0">
                  <c:v>Total</c:v>
                </c:pt>
              </c:strCache>
            </c:strRef>
          </c:tx>
          <c:spPr>
            <a:ln w="28575" cap="rnd">
              <a:solidFill>
                <a:schemeClr val="accent1"/>
              </a:solidFill>
              <a:round/>
            </a:ln>
            <a:effectLst/>
          </c:spPr>
          <c:marker>
            <c:symbol val="none"/>
          </c:marker>
          <c:cat>
            <c:strRef>
              <c:f>Staging!$A$28:$A$32</c:f>
              <c:strCache>
                <c:ptCount val="4"/>
                <c:pt idx="0">
                  <c:v>1975-1986</c:v>
                </c:pt>
                <c:pt idx="1">
                  <c:v>1987-1998</c:v>
                </c:pt>
                <c:pt idx="2">
                  <c:v>1999-2010</c:v>
                </c:pt>
                <c:pt idx="3">
                  <c:v>2011-2022</c:v>
                </c:pt>
              </c:strCache>
            </c:strRef>
          </c:cat>
          <c:val>
            <c:numRef>
              <c:f>Staging!$B$28:$B$32</c:f>
              <c:numCache>
                <c:formatCode>General</c:formatCode>
                <c:ptCount val="4"/>
                <c:pt idx="0">
                  <c:v>354</c:v>
                </c:pt>
                <c:pt idx="1">
                  <c:v>259</c:v>
                </c:pt>
                <c:pt idx="2">
                  <c:v>232.5</c:v>
                </c:pt>
                <c:pt idx="3">
                  <c:v>212.23958333333334</c:v>
                </c:pt>
              </c:numCache>
            </c:numRef>
          </c:val>
          <c:smooth val="0"/>
          <c:extLst>
            <c:ext xmlns:c16="http://schemas.microsoft.com/office/drawing/2014/chart" uri="{C3380CC4-5D6E-409C-BE32-E72D297353CC}">
              <c16:uniqueId val="{00000000-AD9E-496F-8C24-3AE85357CF68}"/>
            </c:ext>
          </c:extLst>
        </c:ser>
        <c:dLbls>
          <c:showLegendKey val="0"/>
          <c:showVal val="0"/>
          <c:showCatName val="0"/>
          <c:showSerName val="0"/>
          <c:showPercent val="0"/>
          <c:showBubbleSize val="0"/>
        </c:dLbls>
        <c:smooth val="0"/>
        <c:axId val="1971767679"/>
        <c:axId val="1971784479"/>
      </c:lineChart>
      <c:catAx>
        <c:axId val="197176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84479"/>
        <c:crosses val="autoZero"/>
        <c:auto val="1"/>
        <c:lblAlgn val="ctr"/>
        <c:lblOffset val="100"/>
        <c:noMultiLvlLbl val="0"/>
      </c:catAx>
      <c:valAx>
        <c:axId val="1971784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cap="none" spc="0" baseline="0">
                    <a:solidFill>
                      <a:srgbClr val="000000"/>
                    </a:solidFill>
                    <a:uFillTx/>
                    <a:latin typeface="Aptos Narrow"/>
                  </a:rPr>
                  <a:t>Average Duration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6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146050</xdr:colOff>
      <xdr:row>4</xdr:row>
      <xdr:rowOff>0</xdr:rowOff>
    </xdr:from>
    <xdr:to>
      <xdr:col>8</xdr:col>
      <xdr:colOff>457200</xdr:colOff>
      <xdr:row>21</xdr:row>
      <xdr:rowOff>82550</xdr:rowOff>
    </xdr:to>
    <xdr:graphicFrame macro="">
      <xdr:nvGraphicFramePr>
        <xdr:cNvPr id="3" name="Chart 2">
          <a:extLst>
            <a:ext uri="{FF2B5EF4-FFF2-40B4-BE49-F238E27FC236}">
              <a16:creationId xmlns:a16="http://schemas.microsoft.com/office/drawing/2014/main" id="{D7CEDF15-C557-4207-8795-12C87F769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146050</xdr:colOff>
      <xdr:row>22</xdr:row>
      <xdr:rowOff>38100</xdr:rowOff>
    </xdr:from>
    <xdr:to>
      <xdr:col>8</xdr:col>
      <xdr:colOff>400050</xdr:colOff>
      <xdr:row>38</xdr:row>
      <xdr:rowOff>57150</xdr:rowOff>
    </xdr:to>
    <xdr:graphicFrame macro="">
      <xdr:nvGraphicFramePr>
        <xdr:cNvPr id="4" name="Chart 3">
          <a:extLst>
            <a:ext uri="{FF2B5EF4-FFF2-40B4-BE49-F238E27FC236}">
              <a16:creationId xmlns:a16="http://schemas.microsoft.com/office/drawing/2014/main" id="{6AE53C5D-E372-458D-9C8D-AE8268488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38</xdr:row>
      <xdr:rowOff>177800</xdr:rowOff>
    </xdr:from>
    <xdr:to>
      <xdr:col>8</xdr:col>
      <xdr:colOff>317500</xdr:colOff>
      <xdr:row>54</xdr:row>
      <xdr:rowOff>95250</xdr:rowOff>
    </xdr:to>
    <xdr:graphicFrame macro="">
      <xdr:nvGraphicFramePr>
        <xdr:cNvPr id="5" name="Chart 4">
          <a:extLst>
            <a:ext uri="{FF2B5EF4-FFF2-40B4-BE49-F238E27FC236}">
              <a16:creationId xmlns:a16="http://schemas.microsoft.com/office/drawing/2014/main" id="{90942D0B-C8A2-4F45-B2FB-05A3019FF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603250</xdr:colOff>
      <xdr:row>4</xdr:row>
      <xdr:rowOff>6350</xdr:rowOff>
    </xdr:from>
    <xdr:ext cx="5543549" cy="6807195"/>
    <xdr:sp macro="" textlink="">
      <xdr:nvSpPr>
        <xdr:cNvPr id="6" name="TextBox 8">
          <a:extLst>
            <a:ext uri="{FF2B5EF4-FFF2-40B4-BE49-F238E27FC236}">
              <a16:creationId xmlns:a16="http://schemas.microsoft.com/office/drawing/2014/main" id="{768E4841-CDE7-4F16-94EB-AD54E6B51ADB}"/>
            </a:ext>
          </a:extLst>
        </xdr:cNvPr>
        <xdr:cNvSpPr txBox="1"/>
      </xdr:nvSpPr>
      <xdr:spPr>
        <a:xfrm>
          <a:off x="5480050" y="742950"/>
          <a:ext cx="5543549" cy="6807195"/>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As you can see from the graph, most variables show some form of variation over time.</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average energy level, bpm (graph 2) and loudness (graph 3) follow a similar trend across the period of 1975 – 2022. The increase from 1975 was due to the rave culture which saw a fusion of electronic music into mainstream pop which dominated the late1990's and early 2000's. This also coincides with music the lowest danceability and acousticness values during the whole period.</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decline after the 1987-1998 period was synonymous with the shift in the dominance of hip-hop/trap. The focus has shifted to short-term engagement and catching the immediate attention of the listener by utilising "hook-first" songwriting which often favours slower, more moody tempos leading to the stagnation over recent years.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mn-lt"/>
            </a:rPr>
            <a:t>The  decline in energy levels and bpm have gradually slowed down over recent years for two main reasons. Firstly, since streaming services reward immediate engagement, artists are often aiming for the same "hook" or viral sound, leading to a homogenisation of sound. And secondly, the need for constant, quick engagement has shortened the average song length, reducing the opportunity for musical development, or "energy peaks" in a track. Ulimately, producers  are mastering the right level of loudness to make tracks stand out on radio, streaming, and in playlists.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 </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Danceability  - generally increases due to technological advancements where there is more focus on rhythm and suitability for dancing. This may reflect the influence of streaming platforms, club culture, and viral social media trends (like TikTok) that favour catchy, beat-driven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Liveness - Earlier music may have contained more live-recorded elements. Over time, production likely became more studio-based and digitally refined, reducing the 'live' feel of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Valance - demonstrates a consistent upward trend across all four periods, increasing gradually from 1987–1988 to 2011-2022.  This steady rise suggests a trend toward brighter, more emotionally positive musical tones in popular music.</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Acousticness - Despite the decline corresponding to the rise in electronic and digitally produced sounds, the increase afterward may reflect renewed interest in acoustic or stripped-back elements. However, the subsequent decrease may show another move toward more produced styles.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Speechiness - remains relatively stable at first but gradually increases, This suggests that modern music includes more spoken-word elements, which may reflect the growing influence of rap, hip-hop, and conversational vocal styles in mainstream music.</a:t>
          </a:r>
        </a:p>
      </xdr:txBody>
    </xdr:sp>
    <xdr:clientData/>
  </xdr:oneCellAnchor>
  <xdr:twoCellAnchor>
    <xdr:from>
      <xdr:col>18</xdr:col>
      <xdr:colOff>234950</xdr:colOff>
      <xdr:row>4</xdr:row>
      <xdr:rowOff>6350</xdr:rowOff>
    </xdr:from>
    <xdr:to>
      <xdr:col>25</xdr:col>
      <xdr:colOff>539750</xdr:colOff>
      <xdr:row>18</xdr:row>
      <xdr:rowOff>171450</xdr:rowOff>
    </xdr:to>
    <xdr:graphicFrame macro="">
      <xdr:nvGraphicFramePr>
        <xdr:cNvPr id="7" name="Chart 6">
          <a:extLst>
            <a:ext uri="{FF2B5EF4-FFF2-40B4-BE49-F238E27FC236}">
              <a16:creationId xmlns:a16="http://schemas.microsoft.com/office/drawing/2014/main" id="{228005D3-2B8D-4163-8B09-2789E746A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215900</xdr:colOff>
      <xdr:row>19</xdr:row>
      <xdr:rowOff>69850</xdr:rowOff>
    </xdr:from>
    <xdr:ext cx="4540252" cy="1835150"/>
    <xdr:sp macro="" textlink="">
      <xdr:nvSpPr>
        <xdr:cNvPr id="8" name="TextBox 9">
          <a:extLst>
            <a:ext uri="{FF2B5EF4-FFF2-40B4-BE49-F238E27FC236}">
              <a16:creationId xmlns:a16="http://schemas.microsoft.com/office/drawing/2014/main" id="{1DA1A9D7-9C70-4CB3-8CD7-F2786A529710}"/>
            </a:ext>
          </a:extLst>
        </xdr:cNvPr>
        <xdr:cNvSpPr txBox="1"/>
      </xdr:nvSpPr>
      <xdr:spPr>
        <a:xfrm>
          <a:off x="11188700" y="3568700"/>
          <a:ext cx="4540252" cy="1835150"/>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graph which shows the average duration of songs over time follows an opposite trend to average valance and speechiness. This is because songs with higher valancy and levels of speechiness tend to have more lyrics, making the song longer.</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general decrease in song duration is driven by the rise of short-form social media content which have promoted the need for modern songs to put away with traditional, longer structures, often focussing  on a 15 - 30 second catchy hook instead which in turn has led to a decrease in the liveness of music (as traditional structure contain things like bridges and intro/outros).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xdr:txBody>
    </xdr:sp>
    <xdr:clientData/>
  </xdr:oneCellAnchor>
  <xdr:oneCellAnchor>
    <xdr:from>
      <xdr:col>18</xdr:col>
      <xdr:colOff>254000</xdr:colOff>
      <xdr:row>29</xdr:row>
      <xdr:rowOff>101600</xdr:rowOff>
    </xdr:from>
    <xdr:ext cx="4540252" cy="1174747"/>
    <xdr:sp macro="" textlink="">
      <xdr:nvSpPr>
        <xdr:cNvPr id="9" name="TextBox 9">
          <a:extLst>
            <a:ext uri="{FF2B5EF4-FFF2-40B4-BE49-F238E27FC236}">
              <a16:creationId xmlns:a16="http://schemas.microsoft.com/office/drawing/2014/main" id="{E8F43D0D-C191-42A1-AB1E-D537F101B72A}"/>
            </a:ext>
          </a:extLst>
        </xdr:cNvPr>
        <xdr:cNvSpPr txBox="1"/>
      </xdr:nvSpPr>
      <xdr:spPr>
        <a:xfrm>
          <a:off x="11226800" y="5441950"/>
          <a:ext cx="4540252" cy="1174747"/>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sng" strike="noStrike" kern="0" cap="none" spc="0" baseline="0">
              <a:solidFill>
                <a:srgbClr val="000000"/>
              </a:solidFill>
              <a:uFillTx/>
              <a:latin typeface="Aptos Narrow"/>
            </a:rPr>
            <a:t>Conclusion</a:t>
          </a: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Music peaked in energy around the late 1990s.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Recent music is becoming more danceable, positive (higher valence), and speech-focused with a significant reduction in song duration.</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Production styles have shifted away from live and acoustic elements toward more digitally produced, rhythm-driven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xdr:txBody>
    </xdr:sp>
    <xdr:clientData/>
  </xdr:oneCellAnchor>
  <xdr:oneCellAnchor>
    <xdr:from>
      <xdr:col>7</xdr:col>
      <xdr:colOff>158750</xdr:colOff>
      <xdr:row>0</xdr:row>
      <xdr:rowOff>69850</xdr:rowOff>
    </xdr:from>
    <xdr:ext cx="6438903" cy="584201"/>
    <xdr:sp macro="" textlink="">
      <xdr:nvSpPr>
        <xdr:cNvPr id="10" name="TextBox 7">
          <a:extLst>
            <a:ext uri="{FF2B5EF4-FFF2-40B4-BE49-F238E27FC236}">
              <a16:creationId xmlns:a16="http://schemas.microsoft.com/office/drawing/2014/main" id="{13348DB6-17C7-4B21-8F23-36A739E35835}"/>
            </a:ext>
          </a:extLst>
        </xdr:cNvPr>
        <xdr:cNvSpPr txBox="1"/>
      </xdr:nvSpPr>
      <xdr:spPr>
        <a:xfrm>
          <a:off x="4425950" y="69850"/>
          <a:ext cx="6438903" cy="584201"/>
        </a:xfrm>
        <a:prstGeom prst="rect">
          <a:avLst/>
        </a:prstGeom>
        <a:noFill/>
        <a:ln cap="flat">
          <a:noFill/>
        </a:ln>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1" i="0" u="none" strike="noStrike" kern="0" cap="none" spc="0" baseline="0">
              <a:solidFill>
                <a:srgbClr val="000000"/>
              </a:solidFill>
              <a:uFillTx/>
              <a:latin typeface="Aptos Narrow"/>
            </a:rPr>
            <a:t>Dashboard - Spotify's Top 100 Most Streamed Songs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ph Adu-Twum" refreshedDate="46113.652930439814" createdVersion="8" refreshedVersion="8" minRefreshableVersion="3" recordCount="100" xr:uid="{25F7E555-A216-48A7-AEF0-285BCCDFC9E8}">
  <cacheSource type="worksheet">
    <worksheetSource name="Top_100_most_Streamed___Sheet1"/>
  </cacheSource>
  <cacheFields count="14">
    <cacheField name="title" numFmtId="0">
      <sharedItems/>
    </cacheField>
    <cacheField name="artist" numFmtId="0">
      <sharedItems/>
    </cacheField>
    <cacheField name="top genre" numFmtId="0">
      <sharedItems/>
    </cacheField>
    <cacheField name="year" numFmtId="0">
      <sharedItems containsSemiMixedTypes="0" containsString="0" containsNumber="1" containsInteger="1" minValue="1975" maxValue="2021" count="14">
        <n v="2020"/>
        <n v="2019"/>
        <n v="2021"/>
        <n v="2017"/>
        <n v="2018"/>
        <n v="2016"/>
        <n v="2013"/>
        <n v="2014"/>
        <n v="2015"/>
        <n v="2012"/>
        <n v="1975"/>
        <n v="2004"/>
        <n v="2008"/>
        <n v="1995"/>
      </sharedItems>
      <fieldGroup base="3">
        <rangePr startNum="1975" endNum="2021" groupInterval="12"/>
        <groupItems count="6">
          <s v="&lt;1975"/>
          <s v="1975-1986"/>
          <s v="1987-1998"/>
          <s v="1999-2010"/>
          <s v="2011-2022"/>
          <s v="&gt;2023"/>
        </groupItems>
      </fieldGroup>
    </cacheField>
    <cacheField name="beats.per.minute" numFmtId="0">
      <sharedItems containsSemiMixedTypes="0" containsString="0" containsNumber="1" containsInteger="1" minValue="71" maxValue="186"/>
    </cacheField>
    <cacheField name="energy" numFmtId="0">
      <sharedItems containsSemiMixedTypes="0" containsString="0" containsNumber="1" containsInteger="1" minValue="11" maxValue="92" count="50">
        <n v="73"/>
        <n v="82"/>
        <n v="72"/>
        <n v="41"/>
        <n v="45"/>
        <n v="78"/>
        <n v="30"/>
        <n v="76"/>
        <n v="65"/>
        <n v="33"/>
        <n v="52"/>
        <n v="43"/>
        <n v="56"/>
        <n v="57"/>
        <n v="26"/>
        <n v="32"/>
        <n v="39"/>
        <n v="69"/>
        <n v="38"/>
        <n v="61"/>
        <n v="64"/>
        <n v="59"/>
        <n v="48"/>
        <n v="75"/>
        <n v="66"/>
        <n v="79"/>
        <n v="71"/>
        <n v="92"/>
        <n v="54"/>
        <n v="40"/>
        <n v="62"/>
        <n v="80"/>
        <n v="42"/>
        <n v="51"/>
        <n v="11"/>
        <n v="91"/>
        <n v="58"/>
        <n v="68"/>
        <n v="77"/>
        <n v="37"/>
        <n v="86"/>
        <n v="85"/>
        <n v="46"/>
        <n v="70"/>
        <n v="87"/>
        <n v="47"/>
        <n v="90"/>
        <n v="83"/>
        <n v="81"/>
        <n v="74"/>
      </sharedItems>
    </cacheField>
    <cacheField name="danceability" numFmtId="0">
      <sharedItems containsSemiMixedTypes="0" containsString="0" containsNumber="1" containsInteger="1" minValue="35" maxValue="91"/>
    </cacheField>
    <cacheField name="loudness.dB" numFmtId="0">
      <sharedItems containsSemiMixedTypes="0" containsString="0" containsNumber="1" containsInteger="1" minValue="-14" maxValue="-3"/>
    </cacheField>
    <cacheField name="liveness" numFmtId="0">
      <sharedItems containsSemiMixedTypes="0" containsString="0" containsNumber="1" containsInteger="1" minValue="3" maxValue="79"/>
    </cacheField>
    <cacheField name="valance" numFmtId="0">
      <sharedItems containsSemiMixedTypes="0" containsString="0" containsNumber="1" containsInteger="1" minValue="6" maxValue="93"/>
    </cacheField>
    <cacheField name="length" numFmtId="0">
      <sharedItems containsSemiMixedTypes="0" containsString="0" containsNumber="1" containsInteger="1" minValue="119" maxValue="354"/>
    </cacheField>
    <cacheField name="acousticness" numFmtId="0">
      <sharedItems containsSemiMixedTypes="0" containsString="0" containsNumber="1" containsInteger="1" minValue="0" maxValue="98"/>
    </cacheField>
    <cacheField name="speechiness" numFmtId="0">
      <sharedItems containsSemiMixedTypes="0" containsString="0" containsNumber="1" containsInteger="1" minValue="2" maxValue="46"/>
    </cacheField>
    <cacheField name="popularity" numFmtId="0">
      <sharedItems containsSemiMixedTypes="0" containsString="0" containsNumber="1" containsInteger="1" minValue="53" maxValue="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Blinding Lights"/>
    <s v="The Weeknd"/>
    <s v="canadian contemporary r&amp;b"/>
    <x v="0"/>
    <n v="171"/>
    <x v="0"/>
    <n v="51"/>
    <n v="-6"/>
    <n v="9"/>
    <n v="33"/>
    <n v="200"/>
    <n v="0"/>
    <n v="6"/>
    <n v="91"/>
  </r>
  <r>
    <s v="Watermelon Sugar"/>
    <s v="Harry Styles"/>
    <s v="pop"/>
    <x v="1"/>
    <n v="95"/>
    <x v="1"/>
    <n v="55"/>
    <n v="-4"/>
    <n v="34"/>
    <n v="56"/>
    <n v="174"/>
    <n v="12"/>
    <n v="5"/>
    <n v="88"/>
  </r>
  <r>
    <s v="Mood (feat. iann dior)"/>
    <s v="24kGoldn"/>
    <s v="cali rap"/>
    <x v="2"/>
    <n v="91"/>
    <x v="2"/>
    <n v="70"/>
    <n v="-4"/>
    <n v="32"/>
    <n v="73"/>
    <n v="141"/>
    <n v="17"/>
    <n v="4"/>
    <n v="88"/>
  </r>
  <r>
    <s v="Someone You Loved"/>
    <s v="Lewis Capaldi"/>
    <s v="pop"/>
    <x v="1"/>
    <n v="110"/>
    <x v="3"/>
    <n v="50"/>
    <n v="-6"/>
    <n v="11"/>
    <n v="45"/>
    <n v="182"/>
    <n v="75"/>
    <n v="3"/>
    <n v="86"/>
  </r>
  <r>
    <s v="Perfect"/>
    <s v="Ed Sheeran"/>
    <s v="pop"/>
    <x v="3"/>
    <n v="95"/>
    <x v="4"/>
    <n v="60"/>
    <n v="-6"/>
    <n v="11"/>
    <n v="17"/>
    <n v="263"/>
    <n v="16"/>
    <n v="2"/>
    <n v="86"/>
  </r>
  <r>
    <s v="Believer"/>
    <s v="Imagine Dragons"/>
    <s v="modern rock"/>
    <x v="3"/>
    <n v="125"/>
    <x v="5"/>
    <n v="78"/>
    <n v="-4"/>
    <n v="8"/>
    <n v="67"/>
    <n v="204"/>
    <n v="6"/>
    <n v="13"/>
    <n v="86"/>
  </r>
  <r>
    <s v="lovely (with Khalid)"/>
    <s v="Billie Eilish"/>
    <s v="electropop"/>
    <x v="4"/>
    <n v="115"/>
    <x v="6"/>
    <n v="35"/>
    <n v="-10"/>
    <n v="10"/>
    <n v="12"/>
    <n v="200"/>
    <n v="93"/>
    <n v="3"/>
    <n v="86"/>
  </r>
  <r>
    <s v="Circles"/>
    <s v="Post Malone"/>
    <s v="dfw rap"/>
    <x v="1"/>
    <n v="120"/>
    <x v="7"/>
    <n v="70"/>
    <n v="-3"/>
    <n v="9"/>
    <n v="55"/>
    <n v="215"/>
    <n v="19"/>
    <n v="4"/>
    <n v="86"/>
  </r>
  <r>
    <s v="Shape of You"/>
    <s v="Ed Sheeran"/>
    <s v="pop"/>
    <x v="3"/>
    <n v="96"/>
    <x v="8"/>
    <n v="83"/>
    <n v="-3"/>
    <n v="9"/>
    <n v="93"/>
    <n v="234"/>
    <n v="58"/>
    <n v="8"/>
    <n v="85"/>
  </r>
  <r>
    <s v="Memories"/>
    <s v="Maroon 5"/>
    <s v="pop"/>
    <x v="2"/>
    <n v="91"/>
    <x v="9"/>
    <n v="78"/>
    <n v="-7"/>
    <n v="8"/>
    <n v="60"/>
    <n v="189"/>
    <n v="84"/>
    <n v="6"/>
    <n v="85"/>
  </r>
  <r>
    <s v="Closer"/>
    <s v="The Chainsmokers"/>
    <s v="dance pop"/>
    <x v="5"/>
    <n v="95"/>
    <x v="10"/>
    <n v="75"/>
    <n v="-6"/>
    <n v="11"/>
    <n v="66"/>
    <n v="245"/>
    <n v="41"/>
    <n v="3"/>
    <n v="84"/>
  </r>
  <r>
    <s v="bad guy"/>
    <s v="Billie Eilish"/>
    <s v="electropop"/>
    <x v="1"/>
    <n v="135"/>
    <x v="11"/>
    <n v="70"/>
    <n v="-11"/>
    <n v="10"/>
    <n v="56"/>
    <n v="194"/>
    <n v="33"/>
    <n v="38"/>
    <n v="84"/>
  </r>
  <r>
    <s v="Say You Won't Let Go"/>
    <s v="James Arthur"/>
    <s v="pop"/>
    <x v="5"/>
    <n v="85"/>
    <x v="12"/>
    <n v="36"/>
    <n v="-7"/>
    <n v="9"/>
    <n v="49"/>
    <n v="211"/>
    <n v="70"/>
    <n v="6"/>
    <n v="84"/>
  </r>
  <r>
    <s v="Lucid Dreams"/>
    <s v="Juice WRLD"/>
    <s v="chicago rap"/>
    <x v="4"/>
    <n v="84"/>
    <x v="13"/>
    <n v="51"/>
    <n v="-7"/>
    <n v="34"/>
    <n v="22"/>
    <n v="240"/>
    <n v="35"/>
    <n v="20"/>
    <n v="84"/>
  </r>
  <r>
    <s v="All of Me"/>
    <s v="John Legend"/>
    <s v="neo soul"/>
    <x v="6"/>
    <n v="120"/>
    <x v="14"/>
    <n v="42"/>
    <n v="-7"/>
    <n v="13"/>
    <n v="33"/>
    <n v="270"/>
    <n v="92"/>
    <n v="3"/>
    <n v="84"/>
  </r>
  <r>
    <s v="7 rings"/>
    <s v="Ariana Grande"/>
    <s v="dance pop"/>
    <x v="1"/>
    <n v="140"/>
    <x v="15"/>
    <n v="78"/>
    <n v="-11"/>
    <n v="9"/>
    <n v="33"/>
    <n v="179"/>
    <n v="59"/>
    <n v="33"/>
    <n v="84"/>
  </r>
  <r>
    <s v="Jocelyn Flores"/>
    <s v="XXXTENTACION"/>
    <s v="emo rap"/>
    <x v="3"/>
    <n v="134"/>
    <x v="16"/>
    <n v="87"/>
    <n v="-9"/>
    <n v="30"/>
    <n v="44"/>
    <n v="119"/>
    <n v="47"/>
    <n v="24"/>
    <n v="84"/>
  </r>
  <r>
    <s v="goosebumps"/>
    <s v="Travis Scott"/>
    <s v="rap"/>
    <x v="5"/>
    <n v="130"/>
    <x v="0"/>
    <n v="84"/>
    <n v="-3"/>
    <n v="15"/>
    <n v="43"/>
    <n v="244"/>
    <n v="8"/>
    <n v="5"/>
    <n v="84"/>
  </r>
  <r>
    <s v="Wake Me Up"/>
    <s v="Avicii"/>
    <s v="dance pop"/>
    <x v="6"/>
    <n v="124"/>
    <x v="5"/>
    <n v="53"/>
    <n v="-6"/>
    <n v="16"/>
    <n v="64"/>
    <n v="247"/>
    <n v="0"/>
    <n v="5"/>
    <n v="84"/>
  </r>
  <r>
    <s v="ROCKSTAR (feat. Roddy Ricch)"/>
    <s v="DaBaby"/>
    <s v="north carolina hip hop"/>
    <x v="0"/>
    <n v="90"/>
    <x v="17"/>
    <n v="75"/>
    <n v="-8"/>
    <n v="10"/>
    <n v="50"/>
    <n v="182"/>
    <n v="25"/>
    <n v="16"/>
    <n v="84"/>
  </r>
  <r>
    <s v="rockstar (feat. 21 Savage)"/>
    <s v="Post Malone"/>
    <s v="dfw rap"/>
    <x v="4"/>
    <n v="160"/>
    <x v="10"/>
    <n v="59"/>
    <n v="-6"/>
    <n v="13"/>
    <n v="13"/>
    <n v="218"/>
    <n v="12"/>
    <n v="7"/>
    <n v="83"/>
  </r>
  <r>
    <s v="Photograph"/>
    <s v="Ed Sheeran"/>
    <s v="pop"/>
    <x v="7"/>
    <n v="108"/>
    <x v="18"/>
    <n v="61"/>
    <n v="-10"/>
    <n v="10"/>
    <n v="20"/>
    <n v="259"/>
    <n v="61"/>
    <n v="5"/>
    <n v="83"/>
  </r>
  <r>
    <s v="SAD!"/>
    <s v="XXXTENTACION"/>
    <s v="emo rap"/>
    <x v="4"/>
    <n v="75"/>
    <x v="19"/>
    <n v="74"/>
    <n v="-5"/>
    <n v="12"/>
    <n v="47"/>
    <n v="167"/>
    <n v="26"/>
    <n v="14"/>
    <n v="83"/>
  </r>
  <r>
    <s v="SICKO MODE"/>
    <s v="Travis Scott"/>
    <s v="rap"/>
    <x v="4"/>
    <n v="155"/>
    <x v="0"/>
    <n v="83"/>
    <n v="-4"/>
    <n v="12"/>
    <n v="45"/>
    <n v="313"/>
    <n v="1"/>
    <n v="22"/>
    <n v="83"/>
  </r>
  <r>
    <s v="Stressed Out"/>
    <s v="Twenty One Pilots"/>
    <s v="modern rock"/>
    <x v="8"/>
    <n v="170"/>
    <x v="20"/>
    <n v="73"/>
    <n v="-6"/>
    <n v="6"/>
    <n v="65"/>
    <n v="202"/>
    <n v="5"/>
    <n v="14"/>
    <n v="83"/>
  </r>
  <r>
    <s v="Roses - Imanbek Remix"/>
    <s v="SAINt JHN"/>
    <s v="melodic rap"/>
    <x v="1"/>
    <n v="122"/>
    <x v="2"/>
    <n v="77"/>
    <n v="-5"/>
    <n v="35"/>
    <n v="90"/>
    <n v="177"/>
    <n v="2"/>
    <n v="5"/>
    <n v="83"/>
  </r>
  <r>
    <s v="The Box"/>
    <s v="Roddy Ricch"/>
    <s v="melodic rap"/>
    <x v="1"/>
    <n v="117"/>
    <x v="21"/>
    <n v="90"/>
    <n v="-7"/>
    <n v="79"/>
    <n v="64"/>
    <n v="197"/>
    <n v="10"/>
    <n v="6"/>
    <n v="83"/>
  </r>
  <r>
    <s v="The Hills"/>
    <s v="The Weeknd"/>
    <s v="canadian contemporary r&amp;b"/>
    <x v="8"/>
    <n v="113"/>
    <x v="12"/>
    <n v="59"/>
    <n v="-7"/>
    <n v="14"/>
    <n v="14"/>
    <n v="242"/>
    <n v="7"/>
    <n v="5"/>
    <n v="83"/>
  </r>
  <r>
    <s v="Sunflower - Spider-Man: Into the Spider-Verse"/>
    <s v="Post Malone"/>
    <s v="dfw rap"/>
    <x v="4"/>
    <n v="90"/>
    <x v="22"/>
    <n v="76"/>
    <n v="-6"/>
    <n v="7"/>
    <n v="91"/>
    <n v="158"/>
    <n v="56"/>
    <n v="5"/>
    <n v="82"/>
  </r>
  <r>
    <s v="Thinking out Loud"/>
    <s v="Ed Sheeran"/>
    <s v="pop"/>
    <x v="7"/>
    <n v="79"/>
    <x v="4"/>
    <n v="78"/>
    <n v="-6"/>
    <n v="18"/>
    <n v="59"/>
    <n v="282"/>
    <n v="47"/>
    <n v="3"/>
    <n v="82"/>
  </r>
  <r>
    <s v="Starboy"/>
    <s v="The Weeknd"/>
    <s v="canadian contemporary r&amp;b"/>
    <x v="5"/>
    <n v="186"/>
    <x v="21"/>
    <n v="68"/>
    <n v="-7"/>
    <n v="14"/>
    <n v="49"/>
    <n v="230"/>
    <n v="14"/>
    <n v="28"/>
    <n v="82"/>
  </r>
  <r>
    <s v="Love Yourself"/>
    <s v="Justin Bieber"/>
    <s v="canadian pop"/>
    <x v="8"/>
    <n v="100"/>
    <x v="18"/>
    <n v="61"/>
    <n v="-10"/>
    <n v="28"/>
    <n v="52"/>
    <n v="234"/>
    <n v="84"/>
    <n v="44"/>
    <n v="82"/>
  </r>
  <r>
    <s v="Something Just Like This"/>
    <s v="The Chainsmokers"/>
    <s v="dance pop"/>
    <x v="3"/>
    <n v="103"/>
    <x v="20"/>
    <n v="62"/>
    <n v="-7"/>
    <n v="16"/>
    <n v="45"/>
    <n v="247"/>
    <n v="5"/>
    <n v="3"/>
    <n v="82"/>
  </r>
  <r>
    <s v="Shallow"/>
    <s v="Lady Gaga"/>
    <s v="dance pop"/>
    <x v="4"/>
    <n v="96"/>
    <x v="16"/>
    <n v="57"/>
    <n v="-6"/>
    <n v="23"/>
    <n v="32"/>
    <n v="216"/>
    <n v="37"/>
    <n v="3"/>
    <n v="82"/>
  </r>
  <r>
    <s v="Thunder"/>
    <s v="Imagine Dragons"/>
    <s v="modern rock"/>
    <x v="3"/>
    <n v="168"/>
    <x v="1"/>
    <n v="61"/>
    <n v="-5"/>
    <n v="15"/>
    <n v="29"/>
    <n v="187"/>
    <n v="1"/>
    <n v="4"/>
    <n v="82"/>
  </r>
  <r>
    <s v="XO Tour Llif3"/>
    <s v="Lil Uzi Vert"/>
    <s v="melodic rap"/>
    <x v="3"/>
    <n v="155"/>
    <x v="23"/>
    <n v="73"/>
    <n v="-6"/>
    <n v="11"/>
    <n v="40"/>
    <n v="183"/>
    <n v="0"/>
    <n v="23"/>
    <n v="82"/>
  </r>
  <r>
    <s v="Take Me To Church"/>
    <s v="Hozier"/>
    <s v="irish singer-songwriter"/>
    <x v="7"/>
    <n v="129"/>
    <x v="24"/>
    <n v="57"/>
    <n v="-5"/>
    <n v="12"/>
    <n v="44"/>
    <n v="242"/>
    <n v="63"/>
    <n v="5"/>
    <n v="82"/>
  </r>
  <r>
    <s v="Happier"/>
    <s v="Marshmello"/>
    <s v="brostep"/>
    <x v="4"/>
    <n v="100"/>
    <x v="25"/>
    <n v="69"/>
    <n v="-3"/>
    <n v="17"/>
    <n v="67"/>
    <n v="214"/>
    <n v="19"/>
    <n v="5"/>
    <n v="82"/>
  </r>
  <r>
    <s v="thank u, next"/>
    <s v="Ariana Grande"/>
    <s v="dance pop"/>
    <x v="1"/>
    <n v="107"/>
    <x v="8"/>
    <n v="72"/>
    <n v="-6"/>
    <n v="10"/>
    <n v="41"/>
    <n v="207"/>
    <n v="23"/>
    <n v="7"/>
    <n v="82"/>
  </r>
  <r>
    <s v="Counting Stars"/>
    <s v="OneRepublic"/>
    <s v="dance pop"/>
    <x v="6"/>
    <n v="122"/>
    <x v="26"/>
    <n v="66"/>
    <n v="-5"/>
    <n v="12"/>
    <n v="48"/>
    <n v="257"/>
    <n v="7"/>
    <n v="4"/>
    <n v="82"/>
  </r>
  <r>
    <s v="Can't Hold Us - feat. Ray Dalton"/>
    <s v="Macklemore &amp; Ryan Lewis"/>
    <s v="pop rap"/>
    <x v="9"/>
    <n v="146"/>
    <x v="27"/>
    <n v="64"/>
    <n v="-4"/>
    <n v="9"/>
    <n v="85"/>
    <n v="258"/>
    <n v="3"/>
    <n v="8"/>
    <n v="82"/>
  </r>
  <r>
    <s v="Señorita"/>
    <s v="Shawn Mendes"/>
    <s v="canadian pop"/>
    <x v="1"/>
    <n v="117"/>
    <x v="28"/>
    <n v="76"/>
    <n v="-6"/>
    <n v="9"/>
    <n v="75"/>
    <n v="191"/>
    <n v="4"/>
    <n v="3"/>
    <n v="81"/>
  </r>
  <r>
    <s v="God's Plan"/>
    <s v="Drake"/>
    <s v="canadian hip hop"/>
    <x v="4"/>
    <n v="77"/>
    <x v="4"/>
    <n v="75"/>
    <n v="-9"/>
    <n v="55"/>
    <n v="36"/>
    <n v="199"/>
    <n v="3"/>
    <n v="11"/>
    <n v="81"/>
  </r>
  <r>
    <s v="Don't Start Now"/>
    <s v="Dua Lipa"/>
    <s v="dance pop"/>
    <x v="0"/>
    <n v="124"/>
    <x v="25"/>
    <n v="79"/>
    <n v="-5"/>
    <n v="10"/>
    <n v="68"/>
    <n v="183"/>
    <n v="1"/>
    <n v="8"/>
    <n v="81"/>
  </r>
  <r>
    <s v="Bohemian Rhapsody - Remastered 2011"/>
    <s v="Queen"/>
    <s v="classic rock"/>
    <x v="10"/>
    <n v="71"/>
    <x v="29"/>
    <n v="41"/>
    <n v="-10"/>
    <n v="30"/>
    <n v="22"/>
    <n v="354"/>
    <n v="27"/>
    <n v="5"/>
    <n v="81"/>
  </r>
  <r>
    <s v="HUMBLE."/>
    <s v="Kendrick Lamar"/>
    <s v="conscious hip hop"/>
    <x v="3"/>
    <n v="150"/>
    <x v="30"/>
    <n v="91"/>
    <n v="-7"/>
    <n v="10"/>
    <n v="42"/>
    <n v="177"/>
    <n v="0"/>
    <n v="10"/>
    <n v="81"/>
  </r>
  <r>
    <s v="Let Me Love You"/>
    <s v="DJ Snake"/>
    <s v="dance pop"/>
    <x v="5"/>
    <n v="100"/>
    <x v="2"/>
    <n v="65"/>
    <n v="-5"/>
    <n v="14"/>
    <n v="16"/>
    <n v="206"/>
    <n v="9"/>
    <n v="3"/>
    <n v="81"/>
  </r>
  <r>
    <s v="Congratulations"/>
    <s v="Post Malone"/>
    <s v="dfw rap"/>
    <x v="5"/>
    <n v="123"/>
    <x v="31"/>
    <n v="63"/>
    <n v="-4"/>
    <n v="25"/>
    <n v="49"/>
    <n v="220"/>
    <n v="22"/>
    <n v="4"/>
    <n v="81"/>
  </r>
  <r>
    <s v="Stay With Me"/>
    <s v="Sam Smith"/>
    <s v="dance pop"/>
    <x v="7"/>
    <n v="84"/>
    <x v="32"/>
    <n v="42"/>
    <n v="-6"/>
    <n v="11"/>
    <n v="18"/>
    <n v="173"/>
    <n v="59"/>
    <n v="4"/>
    <n v="81"/>
  </r>
  <r>
    <s v="Treat You Better"/>
    <s v="Shawn Mendes"/>
    <s v="canadian pop"/>
    <x v="3"/>
    <n v="83"/>
    <x v="1"/>
    <n v="44"/>
    <n v="-4"/>
    <n v="11"/>
    <n v="75"/>
    <n v="188"/>
    <n v="11"/>
    <n v="34"/>
    <n v="81"/>
  </r>
  <r>
    <s v="Uptown Funk (feat. Bruno Mars)"/>
    <s v="Mark Ronson"/>
    <s v="dance pop"/>
    <x v="8"/>
    <n v="115"/>
    <x v="19"/>
    <n v="86"/>
    <n v="-7"/>
    <n v="3"/>
    <n v="93"/>
    <n v="270"/>
    <n v="1"/>
    <n v="8"/>
    <n v="81"/>
  </r>
  <r>
    <s v="I Like Me Better"/>
    <s v="Lauv"/>
    <s v="dance pop"/>
    <x v="4"/>
    <n v="92"/>
    <x v="33"/>
    <n v="75"/>
    <n v="-8"/>
    <n v="10"/>
    <n v="42"/>
    <n v="197"/>
    <n v="54"/>
    <n v="25"/>
    <n v="81"/>
  </r>
  <r>
    <s v="when the party's over"/>
    <s v="Billie Eilish"/>
    <s v="electropop"/>
    <x v="1"/>
    <n v="83"/>
    <x v="34"/>
    <n v="37"/>
    <n v="-14"/>
    <n v="9"/>
    <n v="20"/>
    <n v="196"/>
    <n v="98"/>
    <n v="10"/>
    <n v="81"/>
  </r>
  <r>
    <s v="Mr. Brightside"/>
    <s v="The Killers"/>
    <s v="alternative rock"/>
    <x v="11"/>
    <n v="148"/>
    <x v="35"/>
    <n v="35"/>
    <n v="-5"/>
    <n v="10"/>
    <n v="24"/>
    <n v="223"/>
    <n v="0"/>
    <n v="7"/>
    <n v="81"/>
  </r>
  <r>
    <s v="Dance Monkey"/>
    <s v="Tones And I"/>
    <s v="australian pop"/>
    <x v="1"/>
    <n v="98"/>
    <x v="21"/>
    <n v="82"/>
    <n v="-6"/>
    <n v="15"/>
    <n v="51"/>
    <n v="209"/>
    <n v="69"/>
    <n v="9"/>
    <n v="80"/>
  </r>
  <r>
    <s v="Havana (feat. Young Thug)"/>
    <s v="Camila Cabello"/>
    <s v="dance pop"/>
    <x v="4"/>
    <n v="105"/>
    <x v="10"/>
    <n v="77"/>
    <n v="-4"/>
    <n v="13"/>
    <n v="39"/>
    <n v="217"/>
    <n v="18"/>
    <n v="3"/>
    <n v="80"/>
  </r>
  <r>
    <s v="Better Now"/>
    <s v="Post Malone"/>
    <s v="dfw rap"/>
    <x v="4"/>
    <n v="145"/>
    <x v="36"/>
    <n v="68"/>
    <n v="-6"/>
    <n v="14"/>
    <n v="34"/>
    <n v="231"/>
    <n v="33"/>
    <n v="4"/>
    <n v="80"/>
  </r>
  <r>
    <s v="I Don't Care (with Justin Bieber)"/>
    <s v="Ed Sheeran"/>
    <s v="pop"/>
    <x v="1"/>
    <n v="102"/>
    <x v="37"/>
    <n v="80"/>
    <n v="-5"/>
    <n v="9"/>
    <n v="84"/>
    <n v="220"/>
    <n v="9"/>
    <n v="4"/>
    <n v="80"/>
  </r>
  <r>
    <s v="Unforgettable"/>
    <s v="French Montana"/>
    <s v="gangster rap"/>
    <x v="3"/>
    <n v="98"/>
    <x v="38"/>
    <n v="73"/>
    <n v="-5"/>
    <n v="10"/>
    <n v="73"/>
    <n v="234"/>
    <n v="3"/>
    <n v="12"/>
    <n v="80"/>
  </r>
  <r>
    <s v="Too Good At Goodbyes"/>
    <s v="Sam Smith"/>
    <s v="dance pop"/>
    <x v="3"/>
    <n v="92"/>
    <x v="39"/>
    <n v="68"/>
    <n v="-8"/>
    <n v="17"/>
    <n v="48"/>
    <n v="201"/>
    <n v="64"/>
    <n v="4"/>
    <n v="80"/>
  </r>
  <r>
    <s v="Riptide"/>
    <s v="Vance Joy"/>
    <s v="folk-pop"/>
    <x v="7"/>
    <n v="102"/>
    <x v="0"/>
    <n v="48"/>
    <n v="-7"/>
    <n v="15"/>
    <n v="51"/>
    <n v="204"/>
    <n v="43"/>
    <n v="4"/>
    <n v="80"/>
  </r>
  <r>
    <s v="That's What I Like"/>
    <s v="Bruno Mars"/>
    <s v="dance pop"/>
    <x v="5"/>
    <n v="134"/>
    <x v="12"/>
    <n v="85"/>
    <n v="-5"/>
    <n v="9"/>
    <n v="86"/>
    <n v="207"/>
    <n v="1"/>
    <n v="4"/>
    <n v="80"/>
  </r>
  <r>
    <s v="See You Again (feat. Charlie Puth)"/>
    <s v="Wiz Khalifa"/>
    <s v="dance pop"/>
    <x v="8"/>
    <n v="80"/>
    <x v="22"/>
    <n v="69"/>
    <n v="-8"/>
    <n v="6"/>
    <n v="28"/>
    <n v="230"/>
    <n v="37"/>
    <n v="8"/>
    <n v="80"/>
  </r>
  <r>
    <s v="One Kiss (with Dua Lipa)"/>
    <s v="Calvin Harris"/>
    <s v="dance pop"/>
    <x v="4"/>
    <n v="124"/>
    <x v="40"/>
    <n v="79"/>
    <n v="-3"/>
    <n v="8"/>
    <n v="59"/>
    <n v="215"/>
    <n v="4"/>
    <n v="11"/>
    <n v="80"/>
  </r>
  <r>
    <s v="Heathens"/>
    <s v="Twenty One Pilots"/>
    <s v="modern rock"/>
    <x v="5"/>
    <n v="90"/>
    <x v="29"/>
    <n v="73"/>
    <n v="-9"/>
    <n v="11"/>
    <n v="55"/>
    <n v="196"/>
    <n v="8"/>
    <n v="3"/>
    <n v="80"/>
  </r>
  <r>
    <s v="Demons"/>
    <s v="Imagine Dragons"/>
    <s v="modern rock"/>
    <x v="9"/>
    <n v="90"/>
    <x v="26"/>
    <n v="51"/>
    <n v="-3"/>
    <n v="27"/>
    <n v="43"/>
    <n v="178"/>
    <n v="19"/>
    <n v="3"/>
    <n v="80"/>
  </r>
  <r>
    <s v="Youngblood"/>
    <s v="5 Seconds of Summer"/>
    <s v="boy band"/>
    <x v="4"/>
    <n v="120"/>
    <x v="41"/>
    <n v="60"/>
    <n v="-5"/>
    <n v="12"/>
    <n v="15"/>
    <n v="203"/>
    <n v="2"/>
    <n v="46"/>
    <n v="80"/>
  </r>
  <r>
    <s v="Old Town Road - Remix"/>
    <s v="Lil Nas X"/>
    <s v="lgbtq+ hip hop"/>
    <x v="1"/>
    <n v="136"/>
    <x v="30"/>
    <n v="88"/>
    <n v="-6"/>
    <n v="11"/>
    <n v="64"/>
    <n v="157"/>
    <n v="5"/>
    <n v="10"/>
    <n v="80"/>
  </r>
  <r>
    <s v="I'm Yours"/>
    <s v="Jason Mraz"/>
    <s v="acoustic pop"/>
    <x v="12"/>
    <n v="151"/>
    <x v="42"/>
    <n v="69"/>
    <n v="-8"/>
    <n v="11"/>
    <n v="72"/>
    <n v="242"/>
    <n v="60"/>
    <n v="5"/>
    <n v="80"/>
  </r>
  <r>
    <s v="Attention"/>
    <s v="Charlie Puth"/>
    <s v="dance pop"/>
    <x v="4"/>
    <n v="100"/>
    <x v="19"/>
    <n v="78"/>
    <n v="-5"/>
    <n v="13"/>
    <n v="80"/>
    <n v="209"/>
    <n v="11"/>
    <n v="5"/>
    <n v="80"/>
  </r>
  <r>
    <s v="New Rules"/>
    <s v="Dua Lipa"/>
    <s v="dance pop"/>
    <x v="3"/>
    <n v="116"/>
    <x v="43"/>
    <n v="76"/>
    <n v="-6"/>
    <n v="15"/>
    <n v="61"/>
    <n v="209"/>
    <n v="0"/>
    <n v="7"/>
    <n v="79"/>
  </r>
  <r>
    <s v="Sorry"/>
    <s v="Justin Bieber"/>
    <s v="canadian pop"/>
    <x v="8"/>
    <n v="100"/>
    <x v="7"/>
    <n v="65"/>
    <n v="-4"/>
    <n v="30"/>
    <n v="41"/>
    <n v="201"/>
    <n v="8"/>
    <n v="5"/>
    <n v="79"/>
  </r>
  <r>
    <s v="Don't Let Me Down"/>
    <s v="The Chainsmokers"/>
    <s v="dance pop"/>
    <x v="5"/>
    <n v="160"/>
    <x v="44"/>
    <n v="53"/>
    <n v="-5"/>
    <n v="14"/>
    <n v="42"/>
    <n v="208"/>
    <n v="16"/>
    <n v="17"/>
    <n v="79"/>
  </r>
  <r>
    <s v="7 Years"/>
    <s v="Lukas Graham"/>
    <s v="danish pop"/>
    <x v="5"/>
    <n v="120"/>
    <x v="45"/>
    <n v="77"/>
    <n v="-6"/>
    <n v="39"/>
    <n v="34"/>
    <n v="237"/>
    <n v="29"/>
    <n v="5"/>
    <n v="79"/>
  </r>
  <r>
    <s v="I Like It"/>
    <s v="Cardi B"/>
    <s v="dance pop"/>
    <x v="4"/>
    <n v="136"/>
    <x v="0"/>
    <n v="82"/>
    <n v="-4"/>
    <n v="37"/>
    <n v="65"/>
    <n v="253"/>
    <n v="10"/>
    <n v="13"/>
    <n v="79"/>
  </r>
  <r>
    <s v="I Fall Apart"/>
    <s v="Post Malone"/>
    <s v="dfw rap"/>
    <x v="5"/>
    <n v="144"/>
    <x v="28"/>
    <n v="56"/>
    <n v="-5"/>
    <n v="20"/>
    <n v="29"/>
    <n v="223"/>
    <n v="7"/>
    <n v="4"/>
    <n v="79"/>
  </r>
  <r>
    <s v="We Don't Talk Anymore (feat. Selena Gomez)"/>
    <s v="Charlie Puth"/>
    <s v="dance pop"/>
    <x v="5"/>
    <n v="100"/>
    <x v="12"/>
    <n v="73"/>
    <n v="-8"/>
    <n v="18"/>
    <n v="35"/>
    <n v="218"/>
    <n v="62"/>
    <n v="13"/>
    <n v="79"/>
  </r>
  <r>
    <s v="Can't Feel My Face"/>
    <s v="The Weeknd"/>
    <s v="canadian contemporary r&amp;b"/>
    <x v="8"/>
    <n v="108"/>
    <x v="38"/>
    <n v="71"/>
    <n v="-6"/>
    <n v="11"/>
    <n v="58"/>
    <n v="214"/>
    <n v="11"/>
    <n v="4"/>
    <n v="79"/>
  </r>
  <r>
    <s v="Despacito"/>
    <s v="Luis Fonsi"/>
    <s v="latin"/>
    <x v="1"/>
    <n v="178"/>
    <x v="31"/>
    <n v="66"/>
    <n v="-5"/>
    <n v="7"/>
    <n v="84"/>
    <n v="229"/>
    <n v="20"/>
    <n v="15"/>
    <n v="78"/>
  </r>
  <r>
    <s v="Psycho (feat. Ty Dolla $ign)"/>
    <s v="Post Malone"/>
    <s v="dfw rap"/>
    <x v="4"/>
    <n v="140"/>
    <x v="12"/>
    <n v="75"/>
    <n v="-8"/>
    <n v="11"/>
    <n v="46"/>
    <n v="221"/>
    <n v="55"/>
    <n v="11"/>
    <n v="78"/>
  </r>
  <r>
    <s v="Stitches"/>
    <s v="Shawn Mendes"/>
    <s v="canadian pop"/>
    <x v="8"/>
    <n v="150"/>
    <x v="23"/>
    <n v="75"/>
    <n v="-7"/>
    <n v="5"/>
    <n v="75"/>
    <n v="207"/>
    <n v="2"/>
    <n v="7"/>
    <n v="77"/>
  </r>
  <r>
    <s v="What Do You Mean?"/>
    <s v="Justin Bieber"/>
    <s v="canadian pop"/>
    <x v="8"/>
    <n v="125"/>
    <x v="13"/>
    <n v="85"/>
    <n v="-8"/>
    <n v="8"/>
    <n v="79"/>
    <n v="206"/>
    <n v="59"/>
    <n v="10"/>
    <n v="77"/>
  </r>
  <r>
    <s v="Wonderwall - Remastered"/>
    <s v="Oasis"/>
    <s v="beatlesque"/>
    <x v="13"/>
    <n v="174"/>
    <x v="46"/>
    <n v="38"/>
    <n v="-4"/>
    <n v="19"/>
    <n v="47"/>
    <n v="259"/>
    <n v="0"/>
    <n v="4"/>
    <n v="77"/>
  </r>
  <r>
    <s v="Radioactive"/>
    <s v="Imagine Dragons"/>
    <s v="modern rock"/>
    <x v="9"/>
    <n v="136"/>
    <x v="5"/>
    <n v="45"/>
    <n v="-4"/>
    <n v="67"/>
    <n v="24"/>
    <n v="187"/>
    <n v="11"/>
    <n v="6"/>
    <n v="76"/>
  </r>
  <r>
    <s v="Eastside (with Halsey &amp; Khalid)"/>
    <s v="benny blanco"/>
    <s v="electropop"/>
    <x v="4"/>
    <n v="89"/>
    <x v="37"/>
    <n v="56"/>
    <n v="-8"/>
    <n v="12"/>
    <n v="32"/>
    <n v="174"/>
    <n v="56"/>
    <n v="32"/>
    <n v="76"/>
  </r>
  <r>
    <s v="Cheerleader - Felix Jaehn Remix Radio Edit"/>
    <s v="OMI"/>
    <s v="dance pop"/>
    <x v="8"/>
    <n v="118"/>
    <x v="17"/>
    <n v="78"/>
    <n v="-6"/>
    <n v="16"/>
    <n v="60"/>
    <n v="181"/>
    <n v="17"/>
    <n v="3"/>
    <n v="76"/>
  </r>
  <r>
    <s v="Cheap Thrills"/>
    <s v="Sia"/>
    <s v="australian dance"/>
    <x v="5"/>
    <n v="90"/>
    <x v="43"/>
    <n v="63"/>
    <n v="-6"/>
    <n v="9"/>
    <n v="73"/>
    <n v="212"/>
    <n v="5"/>
    <n v="11"/>
    <n v="75"/>
  </r>
  <r>
    <s v="Girls Like You (feat. Cardi B) - Cardi B Version"/>
    <s v="Maroon 5"/>
    <s v="pop"/>
    <x v="4"/>
    <n v="125"/>
    <x v="28"/>
    <n v="85"/>
    <n v="-7"/>
    <n v="13"/>
    <n v="45"/>
    <n v="236"/>
    <n v="57"/>
    <n v="5"/>
    <n v="74"/>
  </r>
  <r>
    <s v="Faded"/>
    <s v="Alan Walker"/>
    <s v="electro house"/>
    <x v="8"/>
    <n v="90"/>
    <x v="8"/>
    <n v="59"/>
    <n v="-5"/>
    <n v="11"/>
    <n v="17"/>
    <n v="213"/>
    <n v="3"/>
    <n v="3"/>
    <n v="72"/>
  </r>
  <r>
    <s v="Let Her Go"/>
    <s v="Passenger"/>
    <s v="folk-pop"/>
    <x v="6"/>
    <n v="76"/>
    <x v="28"/>
    <n v="45"/>
    <n v="-7"/>
    <n v="11"/>
    <n v="22"/>
    <n v="253"/>
    <n v="36"/>
    <n v="7"/>
    <n v="72"/>
  </r>
  <r>
    <s v="CAN'T STOP THE FEELING! (from DreamWorks Animation's &quot;TROLLS&quot;)"/>
    <s v="Justin Timberlake"/>
    <s v="dance pop"/>
    <x v="5"/>
    <n v="113"/>
    <x v="47"/>
    <n v="67"/>
    <n v="-6"/>
    <n v="10"/>
    <n v="70"/>
    <n v="238"/>
    <n v="1"/>
    <n v="7"/>
    <n v="72"/>
  </r>
  <r>
    <s v="Lean On"/>
    <s v="Major Lazer"/>
    <s v="dance pop"/>
    <x v="8"/>
    <n v="98"/>
    <x v="48"/>
    <n v="72"/>
    <n v="-3"/>
    <n v="56"/>
    <n v="27"/>
    <n v="177"/>
    <n v="0"/>
    <n v="6"/>
    <n v="71"/>
  </r>
  <r>
    <s v="Despacito - Remix"/>
    <s v="Luis Fonsi"/>
    <s v="latin"/>
    <x v="1"/>
    <n v="178"/>
    <x v="31"/>
    <n v="65"/>
    <n v="-4"/>
    <n v="7"/>
    <n v="86"/>
    <n v="230"/>
    <n v="23"/>
    <n v="18"/>
    <n v="70"/>
  </r>
  <r>
    <s v="Lose Yourself"/>
    <s v="Eminem"/>
    <s v="detroit hip hop"/>
    <x v="7"/>
    <n v="171"/>
    <x v="49"/>
    <n v="69"/>
    <n v="-5"/>
    <n v="37"/>
    <n v="6"/>
    <n v="321"/>
    <n v="1"/>
    <n v="27"/>
    <n v="70"/>
  </r>
  <r>
    <s v="Without Me (with Juice WRLD)"/>
    <s v="Halsey"/>
    <s v="dance pop"/>
    <x v="1"/>
    <n v="136"/>
    <x v="33"/>
    <n v="74"/>
    <n v="-6"/>
    <n v="18"/>
    <n v="45"/>
    <n v="229"/>
    <n v="36"/>
    <n v="7"/>
    <n v="67"/>
  </r>
  <r>
    <s v="One Dance"/>
    <s v="Drake"/>
    <s v="canadian hip hop"/>
    <x v="5"/>
    <n v="104"/>
    <x v="19"/>
    <n v="79"/>
    <n v="-6"/>
    <n v="32"/>
    <n v="43"/>
    <n v="174"/>
    <n v="1"/>
    <n v="6"/>
    <n v="66"/>
  </r>
  <r>
    <s v="Sugar"/>
    <s v="Maroon 5"/>
    <s v="pop"/>
    <x v="8"/>
    <n v="120"/>
    <x v="25"/>
    <n v="75"/>
    <n v="-7"/>
    <n v="9"/>
    <n v="88"/>
    <n v="235"/>
    <n v="6"/>
    <n v="3"/>
    <n v="66"/>
  </r>
  <r>
    <s v="Emotions"/>
    <s v="Mark Mendy"/>
    <s v="pop dance"/>
    <x v="2"/>
    <n v="126"/>
    <x v="47"/>
    <n v="66"/>
    <n v="-5"/>
    <n v="40"/>
    <n v="74"/>
    <n v="172"/>
    <n v="5"/>
    <n v="29"/>
    <n v="66"/>
  </r>
  <r>
    <s v="Cold Water"/>
    <s v="Major Lazer"/>
    <s v="dance pop"/>
    <x v="4"/>
    <n v="93"/>
    <x v="31"/>
    <n v="61"/>
    <n v="-5"/>
    <n v="16"/>
    <n v="50"/>
    <n v="185"/>
    <n v="7"/>
    <n v="4"/>
    <n v="56"/>
  </r>
  <r>
    <s v="I Took A Pill In Ibiza - Seeb Remix"/>
    <s v="Mike Posner"/>
    <s v="dance pop"/>
    <x v="5"/>
    <n v="102"/>
    <x v="0"/>
    <n v="67"/>
    <n v="-7"/>
    <n v="9"/>
    <n v="66"/>
    <n v="198"/>
    <n v="3"/>
    <n v="10"/>
    <n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F10EA2-C611-494E-ACD3-E6829D66CFC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6" firstHeaderRow="1" firstDataRow="1" firstDataCol="1"/>
  <pivotFields count="14">
    <pivotField showAll="0"/>
    <pivotField showAll="0"/>
    <pivotField showAll="0"/>
    <pivotField axis="axisRow"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v="1"/>
    </i>
    <i>
      <x v="2"/>
    </i>
    <i>
      <x v="3"/>
    </i>
    <i>
      <x v="4"/>
    </i>
    <i t="grand">
      <x/>
    </i>
  </rowItems>
  <colItems count="1">
    <i/>
  </colItems>
  <dataFields count="1">
    <dataField name="Average of beats.per.minute" fld="4" subtotal="average" baseField="3" baseItem="2"/>
  </dataFields>
  <formats count="3">
    <format dxfId="10">
      <pivotArea collapsedLevelsAreSubtotals="1" fieldPosition="0">
        <references count="1">
          <reference field="3" count="1">
            <x v="4"/>
          </reference>
        </references>
      </pivotArea>
    </format>
    <format dxfId="11">
      <pivotArea collapsedLevelsAreSubtotals="1" fieldPosition="0">
        <references count="1">
          <reference field="3" count="1">
            <x v="3"/>
          </reference>
        </references>
      </pivotArea>
    </format>
    <format dxfId="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5FD44-676D-4E20-9F00-2ED7ECA9EDD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8" firstHeaderRow="0" firstDataRow="1" firstDataCol="1"/>
  <pivotFields count="14">
    <pivotField showAll="0"/>
    <pivotField showAll="0"/>
    <pivotField showAll="0"/>
    <pivotField axis="axisRow" showAll="0">
      <items count="7">
        <item x="0"/>
        <item x="1"/>
        <item x="2"/>
        <item x="3"/>
        <item x="4"/>
        <item x="5"/>
        <item t="default"/>
      </items>
    </pivotField>
    <pivotField showAll="0"/>
    <pivotField dataField="1" showAll="0">
      <items count="51">
        <item x="34"/>
        <item x="14"/>
        <item x="6"/>
        <item x="15"/>
        <item x="9"/>
        <item x="39"/>
        <item x="18"/>
        <item x="16"/>
        <item x="29"/>
        <item x="3"/>
        <item x="32"/>
        <item x="11"/>
        <item x="4"/>
        <item x="42"/>
        <item x="45"/>
        <item x="22"/>
        <item x="33"/>
        <item x="10"/>
        <item x="28"/>
        <item x="12"/>
        <item x="13"/>
        <item x="36"/>
        <item x="21"/>
        <item x="19"/>
        <item x="30"/>
        <item x="20"/>
        <item x="8"/>
        <item x="24"/>
        <item x="37"/>
        <item x="17"/>
        <item x="43"/>
        <item x="26"/>
        <item x="2"/>
        <item x="0"/>
        <item x="49"/>
        <item x="23"/>
        <item x="7"/>
        <item x="38"/>
        <item x="5"/>
        <item x="25"/>
        <item x="31"/>
        <item x="48"/>
        <item x="1"/>
        <item x="47"/>
        <item x="41"/>
        <item x="40"/>
        <item x="44"/>
        <item x="46"/>
        <item x="35"/>
        <item x="27"/>
        <item t="default"/>
      </items>
    </pivotField>
    <pivotField dataField="1" showAll="0"/>
    <pivotField showAll="0"/>
    <pivotField dataField="1" showAll="0"/>
    <pivotField dataField="1" showAll="0"/>
    <pivotField showAll="0"/>
    <pivotField dataField="1" showAll="0"/>
    <pivotField dataField="1" showAll="0"/>
    <pivotField showAll="0"/>
  </pivotFields>
  <rowFields count="1">
    <field x="3"/>
  </rowFields>
  <rowItems count="5">
    <i>
      <x v="1"/>
    </i>
    <i>
      <x v="2"/>
    </i>
    <i>
      <x v="3"/>
    </i>
    <i>
      <x v="4"/>
    </i>
    <i t="grand">
      <x/>
    </i>
  </rowItems>
  <colFields count="1">
    <field x="-2"/>
  </colFields>
  <colItems count="6">
    <i>
      <x/>
    </i>
    <i i="1">
      <x v="1"/>
    </i>
    <i i="2">
      <x v="2"/>
    </i>
    <i i="3">
      <x v="3"/>
    </i>
    <i i="4">
      <x v="4"/>
    </i>
    <i i="5">
      <x v="5"/>
    </i>
  </colItems>
  <dataFields count="6">
    <dataField name="Average of energy" fld="5" subtotal="average" baseField="3" baseItem="0"/>
    <dataField name="Average of danceability" fld="6" subtotal="average" baseField="3" baseItem="0"/>
    <dataField name="Average of liveness" fld="8" subtotal="average" baseField="3" baseItem="0"/>
    <dataField name="Average of valance" fld="9" subtotal="average" baseField="3" baseItem="0"/>
    <dataField name="Average of acousticness" fld="11" subtotal="average" baseField="3" baseItem="0"/>
    <dataField name="Average of speechiness" fld="12" subtotal="average" baseField="3" baseItem="0"/>
  </dataFields>
  <formats count="4">
    <format dxfId="6">
      <pivotArea collapsedLevelsAreSubtotals="1" fieldPosition="0">
        <references count="2">
          <reference field="4294967294" count="1" selected="0">
            <x v="0"/>
          </reference>
          <reference field="3" count="1">
            <x v="3"/>
          </reference>
        </references>
      </pivotArea>
    </format>
    <format dxfId="7">
      <pivotArea collapsedLevelsAreSubtotals="1" fieldPosition="0">
        <references count="2">
          <reference field="4294967294" count="5" selected="0">
            <x v="0"/>
            <x v="1"/>
            <x v="2"/>
            <x v="3"/>
            <x v="4"/>
          </reference>
          <reference field="3" count="1">
            <x v="4"/>
          </reference>
        </references>
      </pivotArea>
    </format>
    <format dxfId="8">
      <pivotArea collapsedLevelsAreSubtotals="1" fieldPosition="0">
        <references count="2">
          <reference field="4294967294" count="1" selected="0">
            <x v="5"/>
          </reference>
          <reference field="3" count="1">
            <x v="4"/>
          </reference>
        </references>
      </pivotArea>
    </format>
    <format dxfId="9">
      <pivotArea grandRow="1" outline="0" collapsedLevelsAreSubtotals="1" fieldPosition="0"/>
    </format>
  </formats>
  <chartFormats count="6">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E0C41-A2E4-4B46-A6BD-8D26CC8FCB3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2" firstHeaderRow="1" firstDataRow="1" firstDataCol="1"/>
  <pivotFields count="14">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v="1"/>
    </i>
    <i>
      <x v="2"/>
    </i>
    <i>
      <x v="3"/>
    </i>
    <i>
      <x v="4"/>
    </i>
    <i t="grand">
      <x/>
    </i>
  </rowItems>
  <colItems count="1">
    <i/>
  </colItems>
  <dataFields count="1">
    <dataField name="Average of length" fld="10" subtotal="average" baseField="3" baseItem="1"/>
  </dataFields>
  <formats count="3">
    <format dxfId="3">
      <pivotArea collapsedLevelsAreSubtotals="1" fieldPosition="0">
        <references count="1">
          <reference field="3" count="1">
            <x v="3"/>
          </reference>
        </references>
      </pivotArea>
    </format>
    <format dxfId="4">
      <pivotArea collapsedLevelsAreSubtotals="1" fieldPosition="0">
        <references count="1">
          <reference field="3" count="1">
            <x v="4"/>
          </reference>
        </references>
      </pivotArea>
    </format>
    <format dxfId="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836E9-FA9E-489F-8FDA-C6DA6A881EA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4" firstHeaderRow="1" firstDataRow="1" firstDataCol="1"/>
  <pivotFields count="14">
    <pivotField showAll="0"/>
    <pivotField showAll="0"/>
    <pivotField showAll="0"/>
    <pivotField axis="axisRow" showAll="0">
      <items count="7">
        <item x="0"/>
        <item x="1"/>
        <item x="2"/>
        <item x="3"/>
        <item x="4"/>
        <item x="5"/>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5">
    <i>
      <x v="1"/>
    </i>
    <i>
      <x v="2"/>
    </i>
    <i>
      <x v="3"/>
    </i>
    <i>
      <x v="4"/>
    </i>
    <i t="grand">
      <x/>
    </i>
  </rowItems>
  <colItems count="1">
    <i/>
  </colItems>
  <dataFields count="1">
    <dataField name="Average of loudness.dB" fld="7" subtotal="average" baseField="3" baseItem="1"/>
  </dataFields>
  <formats count="3">
    <format dxfId="0">
      <pivotArea collapsedLevelsAreSubtotals="1" fieldPosition="0">
        <references count="1">
          <reference field="3" count="1">
            <x v="4"/>
          </reference>
        </references>
      </pivotArea>
    </format>
    <format dxfId="1">
      <pivotArea collapsedLevelsAreSubtotals="1" fieldPosition="0">
        <references count="1">
          <reference field="3" count="1">
            <x v="3"/>
          </reference>
        </references>
      </pivotArea>
    </format>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F57CE2-851F-4674-8167-6664A06491AF}" autoFormatId="16" applyNumberFormats="0" applyBorderFormats="0" applyFontFormats="0" applyPatternFormats="0" applyAlignmentFormats="0" applyWidthHeightFormats="0">
  <queryTableRefresh nextId="15">
    <queryTableFields count="14">
      <queryTableField id="1" name="title" tableColumnId="1"/>
      <queryTableField id="2" name="artist" tableColumnId="2"/>
      <queryTableField id="3" name="top genre" tableColumnId="3"/>
      <queryTableField id="4" name="year" tableColumnId="4"/>
      <queryTableField id="5" name="beats.per.minute" tableColumnId="5"/>
      <queryTableField id="6" name="energy" tableColumnId="6"/>
      <queryTableField id="7" name="danceability" tableColumnId="7"/>
      <queryTableField id="8" name="loudness.dB" tableColumnId="8"/>
      <queryTableField id="9" name="liveness" tableColumnId="9"/>
      <queryTableField id="10" name="valance" tableColumnId="10"/>
      <queryTableField id="11" name="length" tableColumnId="11"/>
      <queryTableField id="12" name="acousticness" tableColumnId="12"/>
      <queryTableField id="13" name="speechiness" tableColumnId="13"/>
      <queryTableField id="14" name="popularity"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CBF304-A0CA-49DA-9D50-0304004DA4D2}" name="Top_100_most_Streamed___Sheet1" displayName="Top_100_most_Streamed___Sheet1" ref="A1:N101" tableType="queryTable" totalsRowShown="0">
  <autoFilter ref="A1:N101" xr:uid="{C1CBF304-A0CA-49DA-9D50-0304004DA4D2}"/>
  <tableColumns count="14">
    <tableColumn id="1" xr3:uid="{2D42CA08-3C33-449C-85A6-AC35456943A1}" uniqueName="1" name="title" queryTableFieldId="1" dataDxfId="15"/>
    <tableColumn id="2" xr3:uid="{57146A6A-B60A-4F9B-A1C0-93A503AEC576}" uniqueName="2" name="artist" queryTableFieldId="2" dataDxfId="14"/>
    <tableColumn id="3" xr3:uid="{623561DC-3A76-4B6F-84F1-6F64D3383D66}" uniqueName="3" name="top genre" queryTableFieldId="3" dataDxfId="13"/>
    <tableColumn id="4" xr3:uid="{3871C6D1-02AE-4D64-A124-80019EE201E1}" uniqueName="4" name="year" queryTableFieldId="4"/>
    <tableColumn id="5" xr3:uid="{0FF687DB-D7A9-4F5D-AB9D-E0FBA86F46A2}" uniqueName="5" name="beats.per.minute" queryTableFieldId="5"/>
    <tableColumn id="6" xr3:uid="{AD17606C-C01F-45BD-B7A7-2E82A6EAE5A8}" uniqueName="6" name="energy" queryTableFieldId="6"/>
    <tableColumn id="7" xr3:uid="{FC18A221-8688-4604-A2D4-77F4546162A7}" uniqueName="7" name="danceability" queryTableFieldId="7"/>
    <tableColumn id="8" xr3:uid="{56B49C36-E723-446F-8BD8-973746A93621}" uniqueName="8" name="loudness.dB" queryTableFieldId="8"/>
    <tableColumn id="9" xr3:uid="{6A76A992-6DB3-430C-B379-958B3DB4F6A0}" uniqueName="9" name="liveness" queryTableFieldId="9"/>
    <tableColumn id="10" xr3:uid="{B3C32165-BB8F-49A9-8525-04C9F2E52538}" uniqueName="10" name="valance" queryTableFieldId="10"/>
    <tableColumn id="11" xr3:uid="{2A668D93-345E-470B-9B89-8CFAB9B81835}" uniqueName="11" name="length" queryTableFieldId="11"/>
    <tableColumn id="12" xr3:uid="{48083650-69D0-4725-B51A-1E2D014A7175}" uniqueName="12" name="acousticness" queryTableFieldId="12"/>
    <tableColumn id="13" xr3:uid="{0313C1FB-E926-4D27-90E1-E8A442199DA0}" uniqueName="13" name="speechiness" queryTableFieldId="13"/>
    <tableColumn id="14" xr3:uid="{5A19F199-A747-4FE6-9836-D254F8CE115E}" uniqueName="14" name="popularity"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8176-38D4-49CD-926F-306FD80BD0FF}">
  <dimension ref="A1:N101"/>
  <sheetViews>
    <sheetView topLeftCell="A2" workbookViewId="0">
      <selection activeCell="A62" sqref="A2:N101"/>
    </sheetView>
  </sheetViews>
  <sheetFormatPr defaultRowHeight="14.5" x14ac:dyDescent="0.35"/>
  <cols>
    <col min="1" max="1" width="56.81640625" bestFit="1" customWidth="1"/>
    <col min="2" max="2" width="21.81640625" bestFit="1" customWidth="1"/>
    <col min="3" max="3" width="23.36328125" bestFit="1" customWidth="1"/>
    <col min="4" max="4" width="6.6328125" bestFit="1" customWidth="1"/>
    <col min="5" max="5" width="17.6328125" bestFit="1" customWidth="1"/>
    <col min="6" max="6" width="8.6328125" bestFit="1" customWidth="1"/>
    <col min="7" max="7" width="13.54296875" bestFit="1" customWidth="1"/>
    <col min="8" max="8" width="13.453125" bestFit="1" customWidth="1"/>
    <col min="9" max="9" width="10" bestFit="1" customWidth="1"/>
    <col min="10" max="10" width="9.6328125" bestFit="1" customWidth="1"/>
    <col min="11" max="11" width="8.36328125" bestFit="1" customWidth="1"/>
    <col min="12" max="12" width="14.1796875" bestFit="1" customWidth="1"/>
    <col min="13" max="13" width="13.6328125" bestFit="1" customWidth="1"/>
    <col min="14" max="14" width="11.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2020</v>
      </c>
      <c r="E2">
        <v>171</v>
      </c>
      <c r="F2">
        <v>73</v>
      </c>
      <c r="G2">
        <v>51</v>
      </c>
      <c r="H2">
        <v>-6</v>
      </c>
      <c r="I2">
        <v>9</v>
      </c>
      <c r="J2">
        <v>33</v>
      </c>
      <c r="K2">
        <v>200</v>
      </c>
      <c r="L2">
        <v>0</v>
      </c>
      <c r="M2">
        <v>6</v>
      </c>
      <c r="N2">
        <v>91</v>
      </c>
    </row>
    <row r="3" spans="1:14" x14ac:dyDescent="0.35">
      <c r="A3" t="s">
        <v>17</v>
      </c>
      <c r="B3" t="s">
        <v>18</v>
      </c>
      <c r="C3" t="s">
        <v>19</v>
      </c>
      <c r="D3">
        <v>2019</v>
      </c>
      <c r="E3">
        <v>95</v>
      </c>
      <c r="F3">
        <v>82</v>
      </c>
      <c r="G3">
        <v>55</v>
      </c>
      <c r="H3">
        <v>-4</v>
      </c>
      <c r="I3">
        <v>34</v>
      </c>
      <c r="J3">
        <v>56</v>
      </c>
      <c r="K3">
        <v>174</v>
      </c>
      <c r="L3">
        <v>12</v>
      </c>
      <c r="M3">
        <v>5</v>
      </c>
      <c r="N3">
        <v>88</v>
      </c>
    </row>
    <row r="4" spans="1:14" x14ac:dyDescent="0.35">
      <c r="A4" t="s">
        <v>20</v>
      </c>
      <c r="B4" t="s">
        <v>21</v>
      </c>
      <c r="C4" t="s">
        <v>22</v>
      </c>
      <c r="D4">
        <v>2021</v>
      </c>
      <c r="E4">
        <v>91</v>
      </c>
      <c r="F4">
        <v>72</v>
      </c>
      <c r="G4">
        <v>70</v>
      </c>
      <c r="H4">
        <v>-4</v>
      </c>
      <c r="I4">
        <v>32</v>
      </c>
      <c r="J4">
        <v>73</v>
      </c>
      <c r="K4">
        <v>141</v>
      </c>
      <c r="L4">
        <v>17</v>
      </c>
      <c r="M4">
        <v>4</v>
      </c>
      <c r="N4">
        <v>88</v>
      </c>
    </row>
    <row r="5" spans="1:14" x14ac:dyDescent="0.35">
      <c r="A5" t="s">
        <v>23</v>
      </c>
      <c r="B5" t="s">
        <v>24</v>
      </c>
      <c r="C5" t="s">
        <v>19</v>
      </c>
      <c r="D5">
        <v>2019</v>
      </c>
      <c r="E5">
        <v>110</v>
      </c>
      <c r="F5">
        <v>41</v>
      </c>
      <c r="G5">
        <v>50</v>
      </c>
      <c r="H5">
        <v>-6</v>
      </c>
      <c r="I5">
        <v>11</v>
      </c>
      <c r="J5">
        <v>45</v>
      </c>
      <c r="K5">
        <v>182</v>
      </c>
      <c r="L5">
        <v>75</v>
      </c>
      <c r="M5">
        <v>3</v>
      </c>
      <c r="N5">
        <v>86</v>
      </c>
    </row>
    <row r="6" spans="1:14" x14ac:dyDescent="0.35">
      <c r="A6" t="s">
        <v>25</v>
      </c>
      <c r="B6" t="s">
        <v>26</v>
      </c>
      <c r="C6" t="s">
        <v>19</v>
      </c>
      <c r="D6">
        <v>2017</v>
      </c>
      <c r="E6">
        <v>95</v>
      </c>
      <c r="F6">
        <v>45</v>
      </c>
      <c r="G6">
        <v>60</v>
      </c>
      <c r="H6">
        <v>-6</v>
      </c>
      <c r="I6">
        <v>11</v>
      </c>
      <c r="J6">
        <v>17</v>
      </c>
      <c r="K6">
        <v>263</v>
      </c>
      <c r="L6">
        <v>16</v>
      </c>
      <c r="M6">
        <v>2</v>
      </c>
      <c r="N6">
        <v>86</v>
      </c>
    </row>
    <row r="7" spans="1:14" x14ac:dyDescent="0.35">
      <c r="A7" t="s">
        <v>27</v>
      </c>
      <c r="B7" t="s">
        <v>28</v>
      </c>
      <c r="C7" t="s">
        <v>29</v>
      </c>
      <c r="D7">
        <v>2017</v>
      </c>
      <c r="E7">
        <v>125</v>
      </c>
      <c r="F7">
        <v>78</v>
      </c>
      <c r="G7">
        <v>78</v>
      </c>
      <c r="H7">
        <v>-4</v>
      </c>
      <c r="I7">
        <v>8</v>
      </c>
      <c r="J7">
        <v>67</v>
      </c>
      <c r="K7">
        <v>204</v>
      </c>
      <c r="L7">
        <v>6</v>
      </c>
      <c r="M7">
        <v>13</v>
      </c>
      <c r="N7">
        <v>86</v>
      </c>
    </row>
    <row r="8" spans="1:14" x14ac:dyDescent="0.35">
      <c r="A8" t="s">
        <v>30</v>
      </c>
      <c r="B8" t="s">
        <v>31</v>
      </c>
      <c r="C8" t="s">
        <v>32</v>
      </c>
      <c r="D8">
        <v>2018</v>
      </c>
      <c r="E8">
        <v>115</v>
      </c>
      <c r="F8">
        <v>30</v>
      </c>
      <c r="G8">
        <v>35</v>
      </c>
      <c r="H8">
        <v>-10</v>
      </c>
      <c r="I8">
        <v>10</v>
      </c>
      <c r="J8">
        <v>12</v>
      </c>
      <c r="K8">
        <v>200</v>
      </c>
      <c r="L8">
        <v>93</v>
      </c>
      <c r="M8">
        <v>3</v>
      </c>
      <c r="N8">
        <v>86</v>
      </c>
    </row>
    <row r="9" spans="1:14" x14ac:dyDescent="0.35">
      <c r="A9" t="s">
        <v>33</v>
      </c>
      <c r="B9" t="s">
        <v>34</v>
      </c>
      <c r="C9" t="s">
        <v>35</v>
      </c>
      <c r="D9">
        <v>2019</v>
      </c>
      <c r="E9">
        <v>120</v>
      </c>
      <c r="F9">
        <v>76</v>
      </c>
      <c r="G9">
        <v>70</v>
      </c>
      <c r="H9">
        <v>-3</v>
      </c>
      <c r="I9">
        <v>9</v>
      </c>
      <c r="J9">
        <v>55</v>
      </c>
      <c r="K9">
        <v>215</v>
      </c>
      <c r="L9">
        <v>19</v>
      </c>
      <c r="M9">
        <v>4</v>
      </c>
      <c r="N9">
        <v>86</v>
      </c>
    </row>
    <row r="10" spans="1:14" x14ac:dyDescent="0.35">
      <c r="A10" t="s">
        <v>36</v>
      </c>
      <c r="B10" t="s">
        <v>26</v>
      </c>
      <c r="C10" t="s">
        <v>19</v>
      </c>
      <c r="D10">
        <v>2017</v>
      </c>
      <c r="E10">
        <v>96</v>
      </c>
      <c r="F10">
        <v>65</v>
      </c>
      <c r="G10">
        <v>83</v>
      </c>
      <c r="H10">
        <v>-3</v>
      </c>
      <c r="I10">
        <v>9</v>
      </c>
      <c r="J10">
        <v>93</v>
      </c>
      <c r="K10">
        <v>234</v>
      </c>
      <c r="L10">
        <v>58</v>
      </c>
      <c r="M10">
        <v>8</v>
      </c>
      <c r="N10">
        <v>85</v>
      </c>
    </row>
    <row r="11" spans="1:14" x14ac:dyDescent="0.35">
      <c r="A11" t="s">
        <v>37</v>
      </c>
      <c r="B11" t="s">
        <v>38</v>
      </c>
      <c r="C11" t="s">
        <v>19</v>
      </c>
      <c r="D11">
        <v>2021</v>
      </c>
      <c r="E11">
        <v>91</v>
      </c>
      <c r="F11">
        <v>33</v>
      </c>
      <c r="G11">
        <v>78</v>
      </c>
      <c r="H11">
        <v>-7</v>
      </c>
      <c r="I11">
        <v>8</v>
      </c>
      <c r="J11">
        <v>60</v>
      </c>
      <c r="K11">
        <v>189</v>
      </c>
      <c r="L11">
        <v>84</v>
      </c>
      <c r="M11">
        <v>6</v>
      </c>
      <c r="N11">
        <v>85</v>
      </c>
    </row>
    <row r="12" spans="1:14" x14ac:dyDescent="0.35">
      <c r="A12" t="s">
        <v>39</v>
      </c>
      <c r="B12" t="s">
        <v>40</v>
      </c>
      <c r="C12" t="s">
        <v>41</v>
      </c>
      <c r="D12">
        <v>2016</v>
      </c>
      <c r="E12">
        <v>95</v>
      </c>
      <c r="F12">
        <v>52</v>
      </c>
      <c r="G12">
        <v>75</v>
      </c>
      <c r="H12">
        <v>-6</v>
      </c>
      <c r="I12">
        <v>11</v>
      </c>
      <c r="J12">
        <v>66</v>
      </c>
      <c r="K12">
        <v>245</v>
      </c>
      <c r="L12">
        <v>41</v>
      </c>
      <c r="M12">
        <v>3</v>
      </c>
      <c r="N12">
        <v>84</v>
      </c>
    </row>
    <row r="13" spans="1:14" x14ac:dyDescent="0.35">
      <c r="A13" t="s">
        <v>42</v>
      </c>
      <c r="B13" t="s">
        <v>31</v>
      </c>
      <c r="C13" t="s">
        <v>32</v>
      </c>
      <c r="D13">
        <v>2019</v>
      </c>
      <c r="E13">
        <v>135</v>
      </c>
      <c r="F13">
        <v>43</v>
      </c>
      <c r="G13">
        <v>70</v>
      </c>
      <c r="H13">
        <v>-11</v>
      </c>
      <c r="I13">
        <v>10</v>
      </c>
      <c r="J13">
        <v>56</v>
      </c>
      <c r="K13">
        <v>194</v>
      </c>
      <c r="L13">
        <v>33</v>
      </c>
      <c r="M13">
        <v>38</v>
      </c>
      <c r="N13">
        <v>84</v>
      </c>
    </row>
    <row r="14" spans="1:14" x14ac:dyDescent="0.35">
      <c r="A14" t="s">
        <v>43</v>
      </c>
      <c r="B14" t="s">
        <v>44</v>
      </c>
      <c r="C14" t="s">
        <v>19</v>
      </c>
      <c r="D14">
        <v>2016</v>
      </c>
      <c r="E14">
        <v>85</v>
      </c>
      <c r="F14">
        <v>56</v>
      </c>
      <c r="G14">
        <v>36</v>
      </c>
      <c r="H14">
        <v>-7</v>
      </c>
      <c r="I14">
        <v>9</v>
      </c>
      <c r="J14">
        <v>49</v>
      </c>
      <c r="K14">
        <v>211</v>
      </c>
      <c r="L14">
        <v>70</v>
      </c>
      <c r="M14">
        <v>6</v>
      </c>
      <c r="N14">
        <v>84</v>
      </c>
    </row>
    <row r="15" spans="1:14" x14ac:dyDescent="0.35">
      <c r="A15" t="s">
        <v>45</v>
      </c>
      <c r="B15" t="s">
        <v>46</v>
      </c>
      <c r="C15" t="s">
        <v>47</v>
      </c>
      <c r="D15">
        <v>2018</v>
      </c>
      <c r="E15">
        <v>84</v>
      </c>
      <c r="F15">
        <v>57</v>
      </c>
      <c r="G15">
        <v>51</v>
      </c>
      <c r="H15">
        <v>-7</v>
      </c>
      <c r="I15">
        <v>34</v>
      </c>
      <c r="J15">
        <v>22</v>
      </c>
      <c r="K15">
        <v>240</v>
      </c>
      <c r="L15">
        <v>35</v>
      </c>
      <c r="M15">
        <v>20</v>
      </c>
      <c r="N15">
        <v>84</v>
      </c>
    </row>
    <row r="16" spans="1:14" x14ac:dyDescent="0.35">
      <c r="A16" t="s">
        <v>48</v>
      </c>
      <c r="B16" t="s">
        <v>49</v>
      </c>
      <c r="C16" t="s">
        <v>50</v>
      </c>
      <c r="D16">
        <v>2013</v>
      </c>
      <c r="E16">
        <v>120</v>
      </c>
      <c r="F16">
        <v>26</v>
      </c>
      <c r="G16">
        <v>42</v>
      </c>
      <c r="H16">
        <v>-7</v>
      </c>
      <c r="I16">
        <v>13</v>
      </c>
      <c r="J16">
        <v>33</v>
      </c>
      <c r="K16">
        <v>270</v>
      </c>
      <c r="L16">
        <v>92</v>
      </c>
      <c r="M16">
        <v>3</v>
      </c>
      <c r="N16">
        <v>84</v>
      </c>
    </row>
    <row r="17" spans="1:14" x14ac:dyDescent="0.35">
      <c r="A17" t="s">
        <v>51</v>
      </c>
      <c r="B17" t="s">
        <v>52</v>
      </c>
      <c r="C17" t="s">
        <v>41</v>
      </c>
      <c r="D17">
        <v>2019</v>
      </c>
      <c r="E17">
        <v>140</v>
      </c>
      <c r="F17">
        <v>32</v>
      </c>
      <c r="G17">
        <v>78</v>
      </c>
      <c r="H17">
        <v>-11</v>
      </c>
      <c r="I17">
        <v>9</v>
      </c>
      <c r="J17">
        <v>33</v>
      </c>
      <c r="K17">
        <v>179</v>
      </c>
      <c r="L17">
        <v>59</v>
      </c>
      <c r="M17">
        <v>33</v>
      </c>
      <c r="N17">
        <v>84</v>
      </c>
    </row>
    <row r="18" spans="1:14" x14ac:dyDescent="0.35">
      <c r="A18" t="s">
        <v>53</v>
      </c>
      <c r="B18" t="s">
        <v>54</v>
      </c>
      <c r="C18" t="s">
        <v>55</v>
      </c>
      <c r="D18">
        <v>2017</v>
      </c>
      <c r="E18">
        <v>134</v>
      </c>
      <c r="F18">
        <v>39</v>
      </c>
      <c r="G18">
        <v>87</v>
      </c>
      <c r="H18">
        <v>-9</v>
      </c>
      <c r="I18">
        <v>30</v>
      </c>
      <c r="J18">
        <v>44</v>
      </c>
      <c r="K18">
        <v>119</v>
      </c>
      <c r="L18">
        <v>47</v>
      </c>
      <c r="M18">
        <v>24</v>
      </c>
      <c r="N18">
        <v>84</v>
      </c>
    </row>
    <row r="19" spans="1:14" x14ac:dyDescent="0.35">
      <c r="A19" t="s">
        <v>56</v>
      </c>
      <c r="B19" t="s">
        <v>57</v>
      </c>
      <c r="C19" t="s">
        <v>58</v>
      </c>
      <c r="D19">
        <v>2016</v>
      </c>
      <c r="E19">
        <v>130</v>
      </c>
      <c r="F19">
        <v>73</v>
      </c>
      <c r="G19">
        <v>84</v>
      </c>
      <c r="H19">
        <v>-3</v>
      </c>
      <c r="I19">
        <v>15</v>
      </c>
      <c r="J19">
        <v>43</v>
      </c>
      <c r="K19">
        <v>244</v>
      </c>
      <c r="L19">
        <v>8</v>
      </c>
      <c r="M19">
        <v>5</v>
      </c>
      <c r="N19">
        <v>84</v>
      </c>
    </row>
    <row r="20" spans="1:14" x14ac:dyDescent="0.35">
      <c r="A20" t="s">
        <v>59</v>
      </c>
      <c r="B20" t="s">
        <v>60</v>
      </c>
      <c r="C20" t="s">
        <v>41</v>
      </c>
      <c r="D20">
        <v>2013</v>
      </c>
      <c r="E20">
        <v>124</v>
      </c>
      <c r="F20">
        <v>78</v>
      </c>
      <c r="G20">
        <v>53</v>
      </c>
      <c r="H20">
        <v>-6</v>
      </c>
      <c r="I20">
        <v>16</v>
      </c>
      <c r="J20">
        <v>64</v>
      </c>
      <c r="K20">
        <v>247</v>
      </c>
      <c r="L20">
        <v>0</v>
      </c>
      <c r="M20">
        <v>5</v>
      </c>
      <c r="N20">
        <v>84</v>
      </c>
    </row>
    <row r="21" spans="1:14" x14ac:dyDescent="0.35">
      <c r="A21" t="s">
        <v>61</v>
      </c>
      <c r="B21" t="s">
        <v>62</v>
      </c>
      <c r="C21" t="s">
        <v>63</v>
      </c>
      <c r="D21">
        <v>2020</v>
      </c>
      <c r="E21">
        <v>90</v>
      </c>
      <c r="F21">
        <v>69</v>
      </c>
      <c r="G21">
        <v>75</v>
      </c>
      <c r="H21">
        <v>-8</v>
      </c>
      <c r="I21">
        <v>10</v>
      </c>
      <c r="J21">
        <v>50</v>
      </c>
      <c r="K21">
        <v>182</v>
      </c>
      <c r="L21">
        <v>25</v>
      </c>
      <c r="M21">
        <v>16</v>
      </c>
      <c r="N21">
        <v>84</v>
      </c>
    </row>
    <row r="22" spans="1:14" x14ac:dyDescent="0.35">
      <c r="A22" t="s">
        <v>64</v>
      </c>
      <c r="B22" t="s">
        <v>34</v>
      </c>
      <c r="C22" t="s">
        <v>35</v>
      </c>
      <c r="D22">
        <v>2018</v>
      </c>
      <c r="E22">
        <v>160</v>
      </c>
      <c r="F22">
        <v>52</v>
      </c>
      <c r="G22">
        <v>59</v>
      </c>
      <c r="H22">
        <v>-6</v>
      </c>
      <c r="I22">
        <v>13</v>
      </c>
      <c r="J22">
        <v>13</v>
      </c>
      <c r="K22">
        <v>218</v>
      </c>
      <c r="L22">
        <v>12</v>
      </c>
      <c r="M22">
        <v>7</v>
      </c>
      <c r="N22">
        <v>83</v>
      </c>
    </row>
    <row r="23" spans="1:14" x14ac:dyDescent="0.35">
      <c r="A23" t="s">
        <v>65</v>
      </c>
      <c r="B23" t="s">
        <v>26</v>
      </c>
      <c r="C23" t="s">
        <v>19</v>
      </c>
      <c r="D23">
        <v>2014</v>
      </c>
      <c r="E23">
        <v>108</v>
      </c>
      <c r="F23">
        <v>38</v>
      </c>
      <c r="G23">
        <v>61</v>
      </c>
      <c r="H23">
        <v>-10</v>
      </c>
      <c r="I23">
        <v>10</v>
      </c>
      <c r="J23">
        <v>20</v>
      </c>
      <c r="K23">
        <v>259</v>
      </c>
      <c r="L23">
        <v>61</v>
      </c>
      <c r="M23">
        <v>5</v>
      </c>
      <c r="N23">
        <v>83</v>
      </c>
    </row>
    <row r="24" spans="1:14" x14ac:dyDescent="0.35">
      <c r="A24" t="s">
        <v>66</v>
      </c>
      <c r="B24" t="s">
        <v>54</v>
      </c>
      <c r="C24" t="s">
        <v>55</v>
      </c>
      <c r="D24">
        <v>2018</v>
      </c>
      <c r="E24">
        <v>75</v>
      </c>
      <c r="F24">
        <v>61</v>
      </c>
      <c r="G24">
        <v>74</v>
      </c>
      <c r="H24">
        <v>-5</v>
      </c>
      <c r="I24">
        <v>12</v>
      </c>
      <c r="J24">
        <v>47</v>
      </c>
      <c r="K24">
        <v>167</v>
      </c>
      <c r="L24">
        <v>26</v>
      </c>
      <c r="M24">
        <v>14</v>
      </c>
      <c r="N24">
        <v>83</v>
      </c>
    </row>
    <row r="25" spans="1:14" x14ac:dyDescent="0.35">
      <c r="A25" t="s">
        <v>67</v>
      </c>
      <c r="B25" t="s">
        <v>57</v>
      </c>
      <c r="C25" t="s">
        <v>58</v>
      </c>
      <c r="D25">
        <v>2018</v>
      </c>
      <c r="E25">
        <v>155</v>
      </c>
      <c r="F25">
        <v>73</v>
      </c>
      <c r="G25">
        <v>83</v>
      </c>
      <c r="H25">
        <v>-4</v>
      </c>
      <c r="I25">
        <v>12</v>
      </c>
      <c r="J25">
        <v>45</v>
      </c>
      <c r="K25">
        <v>313</v>
      </c>
      <c r="L25">
        <v>1</v>
      </c>
      <c r="M25">
        <v>22</v>
      </c>
      <c r="N25">
        <v>83</v>
      </c>
    </row>
    <row r="26" spans="1:14" x14ac:dyDescent="0.35">
      <c r="A26" t="s">
        <v>68</v>
      </c>
      <c r="B26" t="s">
        <v>69</v>
      </c>
      <c r="C26" t="s">
        <v>29</v>
      </c>
      <c r="D26">
        <v>2015</v>
      </c>
      <c r="E26">
        <v>170</v>
      </c>
      <c r="F26">
        <v>64</v>
      </c>
      <c r="G26">
        <v>73</v>
      </c>
      <c r="H26">
        <v>-6</v>
      </c>
      <c r="I26">
        <v>6</v>
      </c>
      <c r="J26">
        <v>65</v>
      </c>
      <c r="K26">
        <v>202</v>
      </c>
      <c r="L26">
        <v>5</v>
      </c>
      <c r="M26">
        <v>14</v>
      </c>
      <c r="N26">
        <v>83</v>
      </c>
    </row>
    <row r="27" spans="1:14" x14ac:dyDescent="0.35">
      <c r="A27" t="s">
        <v>70</v>
      </c>
      <c r="B27" t="s">
        <v>71</v>
      </c>
      <c r="C27" t="s">
        <v>72</v>
      </c>
      <c r="D27">
        <v>2019</v>
      </c>
      <c r="E27">
        <v>122</v>
      </c>
      <c r="F27">
        <v>72</v>
      </c>
      <c r="G27">
        <v>77</v>
      </c>
      <c r="H27">
        <v>-5</v>
      </c>
      <c r="I27">
        <v>35</v>
      </c>
      <c r="J27">
        <v>90</v>
      </c>
      <c r="K27">
        <v>177</v>
      </c>
      <c r="L27">
        <v>2</v>
      </c>
      <c r="M27">
        <v>5</v>
      </c>
      <c r="N27">
        <v>83</v>
      </c>
    </row>
    <row r="28" spans="1:14" x14ac:dyDescent="0.35">
      <c r="A28" t="s">
        <v>73</v>
      </c>
      <c r="B28" t="s">
        <v>74</v>
      </c>
      <c r="C28" t="s">
        <v>72</v>
      </c>
      <c r="D28">
        <v>2019</v>
      </c>
      <c r="E28">
        <v>117</v>
      </c>
      <c r="F28">
        <v>59</v>
      </c>
      <c r="G28">
        <v>90</v>
      </c>
      <c r="H28">
        <v>-7</v>
      </c>
      <c r="I28">
        <v>79</v>
      </c>
      <c r="J28">
        <v>64</v>
      </c>
      <c r="K28">
        <v>197</v>
      </c>
      <c r="L28">
        <v>10</v>
      </c>
      <c r="M28">
        <v>6</v>
      </c>
      <c r="N28">
        <v>83</v>
      </c>
    </row>
    <row r="29" spans="1:14" x14ac:dyDescent="0.35">
      <c r="A29" t="s">
        <v>75</v>
      </c>
      <c r="B29" t="s">
        <v>15</v>
      </c>
      <c r="C29" t="s">
        <v>16</v>
      </c>
      <c r="D29">
        <v>2015</v>
      </c>
      <c r="E29">
        <v>113</v>
      </c>
      <c r="F29">
        <v>56</v>
      </c>
      <c r="G29">
        <v>59</v>
      </c>
      <c r="H29">
        <v>-7</v>
      </c>
      <c r="I29">
        <v>14</v>
      </c>
      <c r="J29">
        <v>14</v>
      </c>
      <c r="K29">
        <v>242</v>
      </c>
      <c r="L29">
        <v>7</v>
      </c>
      <c r="M29">
        <v>5</v>
      </c>
      <c r="N29">
        <v>83</v>
      </c>
    </row>
    <row r="30" spans="1:14" x14ac:dyDescent="0.35">
      <c r="A30" t="s">
        <v>76</v>
      </c>
      <c r="B30" t="s">
        <v>34</v>
      </c>
      <c r="C30" t="s">
        <v>35</v>
      </c>
      <c r="D30">
        <v>2018</v>
      </c>
      <c r="E30">
        <v>90</v>
      </c>
      <c r="F30">
        <v>48</v>
      </c>
      <c r="G30">
        <v>76</v>
      </c>
      <c r="H30">
        <v>-6</v>
      </c>
      <c r="I30">
        <v>7</v>
      </c>
      <c r="J30">
        <v>91</v>
      </c>
      <c r="K30">
        <v>158</v>
      </c>
      <c r="L30">
        <v>56</v>
      </c>
      <c r="M30">
        <v>5</v>
      </c>
      <c r="N30">
        <v>82</v>
      </c>
    </row>
    <row r="31" spans="1:14" x14ac:dyDescent="0.35">
      <c r="A31" t="s">
        <v>77</v>
      </c>
      <c r="B31" t="s">
        <v>26</v>
      </c>
      <c r="C31" t="s">
        <v>19</v>
      </c>
      <c r="D31">
        <v>2014</v>
      </c>
      <c r="E31">
        <v>79</v>
      </c>
      <c r="F31">
        <v>45</v>
      </c>
      <c r="G31">
        <v>78</v>
      </c>
      <c r="H31">
        <v>-6</v>
      </c>
      <c r="I31">
        <v>18</v>
      </c>
      <c r="J31">
        <v>59</v>
      </c>
      <c r="K31">
        <v>282</v>
      </c>
      <c r="L31">
        <v>47</v>
      </c>
      <c r="M31">
        <v>3</v>
      </c>
      <c r="N31">
        <v>82</v>
      </c>
    </row>
    <row r="32" spans="1:14" x14ac:dyDescent="0.35">
      <c r="A32" t="s">
        <v>78</v>
      </c>
      <c r="B32" t="s">
        <v>15</v>
      </c>
      <c r="C32" t="s">
        <v>16</v>
      </c>
      <c r="D32">
        <v>2016</v>
      </c>
      <c r="E32">
        <v>186</v>
      </c>
      <c r="F32">
        <v>59</v>
      </c>
      <c r="G32">
        <v>68</v>
      </c>
      <c r="H32">
        <v>-7</v>
      </c>
      <c r="I32">
        <v>14</v>
      </c>
      <c r="J32">
        <v>49</v>
      </c>
      <c r="K32">
        <v>230</v>
      </c>
      <c r="L32">
        <v>14</v>
      </c>
      <c r="M32">
        <v>28</v>
      </c>
      <c r="N32">
        <v>82</v>
      </c>
    </row>
    <row r="33" spans="1:14" x14ac:dyDescent="0.35">
      <c r="A33" t="s">
        <v>79</v>
      </c>
      <c r="B33" t="s">
        <v>80</v>
      </c>
      <c r="C33" t="s">
        <v>81</v>
      </c>
      <c r="D33">
        <v>2015</v>
      </c>
      <c r="E33">
        <v>100</v>
      </c>
      <c r="F33">
        <v>38</v>
      </c>
      <c r="G33">
        <v>61</v>
      </c>
      <c r="H33">
        <v>-10</v>
      </c>
      <c r="I33">
        <v>28</v>
      </c>
      <c r="J33">
        <v>52</v>
      </c>
      <c r="K33">
        <v>234</v>
      </c>
      <c r="L33">
        <v>84</v>
      </c>
      <c r="M33">
        <v>44</v>
      </c>
      <c r="N33">
        <v>82</v>
      </c>
    </row>
    <row r="34" spans="1:14" x14ac:dyDescent="0.35">
      <c r="A34" t="s">
        <v>82</v>
      </c>
      <c r="B34" t="s">
        <v>40</v>
      </c>
      <c r="C34" t="s">
        <v>41</v>
      </c>
      <c r="D34">
        <v>2017</v>
      </c>
      <c r="E34">
        <v>103</v>
      </c>
      <c r="F34">
        <v>64</v>
      </c>
      <c r="G34">
        <v>62</v>
      </c>
      <c r="H34">
        <v>-7</v>
      </c>
      <c r="I34">
        <v>16</v>
      </c>
      <c r="J34">
        <v>45</v>
      </c>
      <c r="K34">
        <v>247</v>
      </c>
      <c r="L34">
        <v>5</v>
      </c>
      <c r="M34">
        <v>3</v>
      </c>
      <c r="N34">
        <v>82</v>
      </c>
    </row>
    <row r="35" spans="1:14" x14ac:dyDescent="0.35">
      <c r="A35" t="s">
        <v>83</v>
      </c>
      <c r="B35" t="s">
        <v>84</v>
      </c>
      <c r="C35" t="s">
        <v>41</v>
      </c>
      <c r="D35">
        <v>2018</v>
      </c>
      <c r="E35">
        <v>96</v>
      </c>
      <c r="F35">
        <v>39</v>
      </c>
      <c r="G35">
        <v>57</v>
      </c>
      <c r="H35">
        <v>-6</v>
      </c>
      <c r="I35">
        <v>23</v>
      </c>
      <c r="J35">
        <v>32</v>
      </c>
      <c r="K35">
        <v>216</v>
      </c>
      <c r="L35">
        <v>37</v>
      </c>
      <c r="M35">
        <v>3</v>
      </c>
      <c r="N35">
        <v>82</v>
      </c>
    </row>
    <row r="36" spans="1:14" x14ac:dyDescent="0.35">
      <c r="A36" t="s">
        <v>85</v>
      </c>
      <c r="B36" t="s">
        <v>28</v>
      </c>
      <c r="C36" t="s">
        <v>29</v>
      </c>
      <c r="D36">
        <v>2017</v>
      </c>
      <c r="E36">
        <v>168</v>
      </c>
      <c r="F36">
        <v>82</v>
      </c>
      <c r="G36">
        <v>61</v>
      </c>
      <c r="H36">
        <v>-5</v>
      </c>
      <c r="I36">
        <v>15</v>
      </c>
      <c r="J36">
        <v>29</v>
      </c>
      <c r="K36">
        <v>187</v>
      </c>
      <c r="L36">
        <v>1</v>
      </c>
      <c r="M36">
        <v>4</v>
      </c>
      <c r="N36">
        <v>82</v>
      </c>
    </row>
    <row r="37" spans="1:14" x14ac:dyDescent="0.35">
      <c r="A37" t="s">
        <v>86</v>
      </c>
      <c r="B37" t="s">
        <v>87</v>
      </c>
      <c r="C37" t="s">
        <v>72</v>
      </c>
      <c r="D37">
        <v>2017</v>
      </c>
      <c r="E37">
        <v>155</v>
      </c>
      <c r="F37">
        <v>75</v>
      </c>
      <c r="G37">
        <v>73</v>
      </c>
      <c r="H37">
        <v>-6</v>
      </c>
      <c r="I37">
        <v>11</v>
      </c>
      <c r="J37">
        <v>40</v>
      </c>
      <c r="K37">
        <v>183</v>
      </c>
      <c r="L37">
        <v>0</v>
      </c>
      <c r="M37">
        <v>23</v>
      </c>
      <c r="N37">
        <v>82</v>
      </c>
    </row>
    <row r="38" spans="1:14" x14ac:dyDescent="0.35">
      <c r="A38" t="s">
        <v>88</v>
      </c>
      <c r="B38" t="s">
        <v>89</v>
      </c>
      <c r="C38" t="s">
        <v>90</v>
      </c>
      <c r="D38">
        <v>2014</v>
      </c>
      <c r="E38">
        <v>129</v>
      </c>
      <c r="F38">
        <v>66</v>
      </c>
      <c r="G38">
        <v>57</v>
      </c>
      <c r="H38">
        <v>-5</v>
      </c>
      <c r="I38">
        <v>12</v>
      </c>
      <c r="J38">
        <v>44</v>
      </c>
      <c r="K38">
        <v>242</v>
      </c>
      <c r="L38">
        <v>63</v>
      </c>
      <c r="M38">
        <v>5</v>
      </c>
      <c r="N38">
        <v>82</v>
      </c>
    </row>
    <row r="39" spans="1:14" x14ac:dyDescent="0.35">
      <c r="A39" t="s">
        <v>91</v>
      </c>
      <c r="B39" t="s">
        <v>92</v>
      </c>
      <c r="C39" t="s">
        <v>93</v>
      </c>
      <c r="D39">
        <v>2018</v>
      </c>
      <c r="E39">
        <v>100</v>
      </c>
      <c r="F39">
        <v>79</v>
      </c>
      <c r="G39">
        <v>69</v>
      </c>
      <c r="H39">
        <v>-3</v>
      </c>
      <c r="I39">
        <v>17</v>
      </c>
      <c r="J39">
        <v>67</v>
      </c>
      <c r="K39">
        <v>214</v>
      </c>
      <c r="L39">
        <v>19</v>
      </c>
      <c r="M39">
        <v>5</v>
      </c>
      <c r="N39">
        <v>82</v>
      </c>
    </row>
    <row r="40" spans="1:14" x14ac:dyDescent="0.35">
      <c r="A40" t="s">
        <v>94</v>
      </c>
      <c r="B40" t="s">
        <v>52</v>
      </c>
      <c r="C40" t="s">
        <v>41</v>
      </c>
      <c r="D40">
        <v>2019</v>
      </c>
      <c r="E40">
        <v>107</v>
      </c>
      <c r="F40">
        <v>65</v>
      </c>
      <c r="G40">
        <v>72</v>
      </c>
      <c r="H40">
        <v>-6</v>
      </c>
      <c r="I40">
        <v>10</v>
      </c>
      <c r="J40">
        <v>41</v>
      </c>
      <c r="K40">
        <v>207</v>
      </c>
      <c r="L40">
        <v>23</v>
      </c>
      <c r="M40">
        <v>7</v>
      </c>
      <c r="N40">
        <v>82</v>
      </c>
    </row>
    <row r="41" spans="1:14" x14ac:dyDescent="0.35">
      <c r="A41" t="s">
        <v>95</v>
      </c>
      <c r="B41" t="s">
        <v>96</v>
      </c>
      <c r="C41" t="s">
        <v>41</v>
      </c>
      <c r="D41">
        <v>2013</v>
      </c>
      <c r="E41">
        <v>122</v>
      </c>
      <c r="F41">
        <v>71</v>
      </c>
      <c r="G41">
        <v>66</v>
      </c>
      <c r="H41">
        <v>-5</v>
      </c>
      <c r="I41">
        <v>12</v>
      </c>
      <c r="J41">
        <v>48</v>
      </c>
      <c r="K41">
        <v>257</v>
      </c>
      <c r="L41">
        <v>7</v>
      </c>
      <c r="M41">
        <v>4</v>
      </c>
      <c r="N41">
        <v>82</v>
      </c>
    </row>
    <row r="42" spans="1:14" x14ac:dyDescent="0.35">
      <c r="A42" t="s">
        <v>97</v>
      </c>
      <c r="B42" t="s">
        <v>98</v>
      </c>
      <c r="C42" t="s">
        <v>99</v>
      </c>
      <c r="D42">
        <v>2012</v>
      </c>
      <c r="E42">
        <v>146</v>
      </c>
      <c r="F42">
        <v>92</v>
      </c>
      <c r="G42">
        <v>64</v>
      </c>
      <c r="H42">
        <v>-4</v>
      </c>
      <c r="I42">
        <v>9</v>
      </c>
      <c r="J42">
        <v>85</v>
      </c>
      <c r="K42">
        <v>258</v>
      </c>
      <c r="L42">
        <v>3</v>
      </c>
      <c r="M42">
        <v>8</v>
      </c>
      <c r="N42">
        <v>82</v>
      </c>
    </row>
    <row r="43" spans="1:14" x14ac:dyDescent="0.35">
      <c r="A43" t="s">
        <v>100</v>
      </c>
      <c r="B43" t="s">
        <v>101</v>
      </c>
      <c r="C43" t="s">
        <v>81</v>
      </c>
      <c r="D43">
        <v>2019</v>
      </c>
      <c r="E43">
        <v>117</v>
      </c>
      <c r="F43">
        <v>54</v>
      </c>
      <c r="G43">
        <v>76</v>
      </c>
      <c r="H43">
        <v>-6</v>
      </c>
      <c r="I43">
        <v>9</v>
      </c>
      <c r="J43">
        <v>75</v>
      </c>
      <c r="K43">
        <v>191</v>
      </c>
      <c r="L43">
        <v>4</v>
      </c>
      <c r="M43">
        <v>3</v>
      </c>
      <c r="N43">
        <v>81</v>
      </c>
    </row>
    <row r="44" spans="1:14" x14ac:dyDescent="0.35">
      <c r="A44" t="s">
        <v>102</v>
      </c>
      <c r="B44" t="s">
        <v>103</v>
      </c>
      <c r="C44" t="s">
        <v>104</v>
      </c>
      <c r="D44">
        <v>2018</v>
      </c>
      <c r="E44">
        <v>77</v>
      </c>
      <c r="F44">
        <v>45</v>
      </c>
      <c r="G44">
        <v>75</v>
      </c>
      <c r="H44">
        <v>-9</v>
      </c>
      <c r="I44">
        <v>55</v>
      </c>
      <c r="J44">
        <v>36</v>
      </c>
      <c r="K44">
        <v>199</v>
      </c>
      <c r="L44">
        <v>3</v>
      </c>
      <c r="M44">
        <v>11</v>
      </c>
      <c r="N44">
        <v>81</v>
      </c>
    </row>
    <row r="45" spans="1:14" x14ac:dyDescent="0.35">
      <c r="A45" t="s">
        <v>105</v>
      </c>
      <c r="B45" t="s">
        <v>106</v>
      </c>
      <c r="C45" t="s">
        <v>41</v>
      </c>
      <c r="D45">
        <v>2020</v>
      </c>
      <c r="E45">
        <v>124</v>
      </c>
      <c r="F45">
        <v>79</v>
      </c>
      <c r="G45">
        <v>79</v>
      </c>
      <c r="H45">
        <v>-5</v>
      </c>
      <c r="I45">
        <v>10</v>
      </c>
      <c r="J45">
        <v>68</v>
      </c>
      <c r="K45">
        <v>183</v>
      </c>
      <c r="L45">
        <v>1</v>
      </c>
      <c r="M45">
        <v>8</v>
      </c>
      <c r="N45">
        <v>81</v>
      </c>
    </row>
    <row r="46" spans="1:14" x14ac:dyDescent="0.35">
      <c r="A46" t="s">
        <v>107</v>
      </c>
      <c r="B46" t="s">
        <v>108</v>
      </c>
      <c r="C46" t="s">
        <v>109</v>
      </c>
      <c r="D46">
        <v>1975</v>
      </c>
      <c r="E46">
        <v>71</v>
      </c>
      <c r="F46">
        <v>40</v>
      </c>
      <c r="G46">
        <v>41</v>
      </c>
      <c r="H46">
        <v>-10</v>
      </c>
      <c r="I46">
        <v>30</v>
      </c>
      <c r="J46">
        <v>22</v>
      </c>
      <c r="K46">
        <v>354</v>
      </c>
      <c r="L46">
        <v>27</v>
      </c>
      <c r="M46">
        <v>5</v>
      </c>
      <c r="N46">
        <v>81</v>
      </c>
    </row>
    <row r="47" spans="1:14" x14ac:dyDescent="0.35">
      <c r="A47" t="s">
        <v>110</v>
      </c>
      <c r="B47" t="s">
        <v>111</v>
      </c>
      <c r="C47" t="s">
        <v>112</v>
      </c>
      <c r="D47">
        <v>2017</v>
      </c>
      <c r="E47">
        <v>150</v>
      </c>
      <c r="F47">
        <v>62</v>
      </c>
      <c r="G47">
        <v>91</v>
      </c>
      <c r="H47">
        <v>-7</v>
      </c>
      <c r="I47">
        <v>10</v>
      </c>
      <c r="J47">
        <v>42</v>
      </c>
      <c r="K47">
        <v>177</v>
      </c>
      <c r="L47">
        <v>0</v>
      </c>
      <c r="M47">
        <v>10</v>
      </c>
      <c r="N47">
        <v>81</v>
      </c>
    </row>
    <row r="48" spans="1:14" x14ac:dyDescent="0.35">
      <c r="A48" t="s">
        <v>113</v>
      </c>
      <c r="B48" t="s">
        <v>114</v>
      </c>
      <c r="C48" t="s">
        <v>41</v>
      </c>
      <c r="D48">
        <v>2016</v>
      </c>
      <c r="E48">
        <v>100</v>
      </c>
      <c r="F48">
        <v>72</v>
      </c>
      <c r="G48">
        <v>65</v>
      </c>
      <c r="H48">
        <v>-5</v>
      </c>
      <c r="I48">
        <v>14</v>
      </c>
      <c r="J48">
        <v>16</v>
      </c>
      <c r="K48">
        <v>206</v>
      </c>
      <c r="L48">
        <v>9</v>
      </c>
      <c r="M48">
        <v>3</v>
      </c>
      <c r="N48">
        <v>81</v>
      </c>
    </row>
    <row r="49" spans="1:14" x14ac:dyDescent="0.35">
      <c r="A49" t="s">
        <v>115</v>
      </c>
      <c r="B49" t="s">
        <v>34</v>
      </c>
      <c r="C49" t="s">
        <v>35</v>
      </c>
      <c r="D49">
        <v>2016</v>
      </c>
      <c r="E49">
        <v>123</v>
      </c>
      <c r="F49">
        <v>80</v>
      </c>
      <c r="G49">
        <v>63</v>
      </c>
      <c r="H49">
        <v>-4</v>
      </c>
      <c r="I49">
        <v>25</v>
      </c>
      <c r="J49">
        <v>49</v>
      </c>
      <c r="K49">
        <v>220</v>
      </c>
      <c r="L49">
        <v>22</v>
      </c>
      <c r="M49">
        <v>4</v>
      </c>
      <c r="N49">
        <v>81</v>
      </c>
    </row>
    <row r="50" spans="1:14" x14ac:dyDescent="0.35">
      <c r="A50" t="s">
        <v>116</v>
      </c>
      <c r="B50" t="s">
        <v>117</v>
      </c>
      <c r="C50" t="s">
        <v>41</v>
      </c>
      <c r="D50">
        <v>2014</v>
      </c>
      <c r="E50">
        <v>84</v>
      </c>
      <c r="F50">
        <v>42</v>
      </c>
      <c r="G50">
        <v>42</v>
      </c>
      <c r="H50">
        <v>-6</v>
      </c>
      <c r="I50">
        <v>11</v>
      </c>
      <c r="J50">
        <v>18</v>
      </c>
      <c r="K50">
        <v>173</v>
      </c>
      <c r="L50">
        <v>59</v>
      </c>
      <c r="M50">
        <v>4</v>
      </c>
      <c r="N50">
        <v>81</v>
      </c>
    </row>
    <row r="51" spans="1:14" x14ac:dyDescent="0.35">
      <c r="A51" t="s">
        <v>118</v>
      </c>
      <c r="B51" t="s">
        <v>101</v>
      </c>
      <c r="C51" t="s">
        <v>81</v>
      </c>
      <c r="D51">
        <v>2017</v>
      </c>
      <c r="E51">
        <v>83</v>
      </c>
      <c r="F51">
        <v>82</v>
      </c>
      <c r="G51">
        <v>44</v>
      </c>
      <c r="H51">
        <v>-4</v>
      </c>
      <c r="I51">
        <v>11</v>
      </c>
      <c r="J51">
        <v>75</v>
      </c>
      <c r="K51">
        <v>188</v>
      </c>
      <c r="L51">
        <v>11</v>
      </c>
      <c r="M51">
        <v>34</v>
      </c>
      <c r="N51">
        <v>81</v>
      </c>
    </row>
    <row r="52" spans="1:14" x14ac:dyDescent="0.35">
      <c r="A52" t="s">
        <v>119</v>
      </c>
      <c r="B52" t="s">
        <v>120</v>
      </c>
      <c r="C52" t="s">
        <v>41</v>
      </c>
      <c r="D52">
        <v>2015</v>
      </c>
      <c r="E52">
        <v>115</v>
      </c>
      <c r="F52">
        <v>61</v>
      </c>
      <c r="G52">
        <v>86</v>
      </c>
      <c r="H52">
        <v>-7</v>
      </c>
      <c r="I52">
        <v>3</v>
      </c>
      <c r="J52">
        <v>93</v>
      </c>
      <c r="K52">
        <v>270</v>
      </c>
      <c r="L52">
        <v>1</v>
      </c>
      <c r="M52">
        <v>8</v>
      </c>
      <c r="N52">
        <v>81</v>
      </c>
    </row>
    <row r="53" spans="1:14" x14ac:dyDescent="0.35">
      <c r="A53" t="s">
        <v>121</v>
      </c>
      <c r="B53" t="s">
        <v>122</v>
      </c>
      <c r="C53" t="s">
        <v>41</v>
      </c>
      <c r="D53">
        <v>2018</v>
      </c>
      <c r="E53">
        <v>92</v>
      </c>
      <c r="F53">
        <v>51</v>
      </c>
      <c r="G53">
        <v>75</v>
      </c>
      <c r="H53">
        <v>-8</v>
      </c>
      <c r="I53">
        <v>10</v>
      </c>
      <c r="J53">
        <v>42</v>
      </c>
      <c r="K53">
        <v>197</v>
      </c>
      <c r="L53">
        <v>54</v>
      </c>
      <c r="M53">
        <v>25</v>
      </c>
      <c r="N53">
        <v>81</v>
      </c>
    </row>
    <row r="54" spans="1:14" x14ac:dyDescent="0.35">
      <c r="A54" t="s">
        <v>123</v>
      </c>
      <c r="B54" t="s">
        <v>31</v>
      </c>
      <c r="C54" t="s">
        <v>32</v>
      </c>
      <c r="D54">
        <v>2019</v>
      </c>
      <c r="E54">
        <v>83</v>
      </c>
      <c r="F54">
        <v>11</v>
      </c>
      <c r="G54">
        <v>37</v>
      </c>
      <c r="H54">
        <v>-14</v>
      </c>
      <c r="I54">
        <v>9</v>
      </c>
      <c r="J54">
        <v>20</v>
      </c>
      <c r="K54">
        <v>196</v>
      </c>
      <c r="L54">
        <v>98</v>
      </c>
      <c r="M54">
        <v>10</v>
      </c>
      <c r="N54">
        <v>81</v>
      </c>
    </row>
    <row r="55" spans="1:14" x14ac:dyDescent="0.35">
      <c r="A55" t="s">
        <v>124</v>
      </c>
      <c r="B55" t="s">
        <v>125</v>
      </c>
      <c r="C55" t="s">
        <v>126</v>
      </c>
      <c r="D55">
        <v>2004</v>
      </c>
      <c r="E55">
        <v>148</v>
      </c>
      <c r="F55">
        <v>91</v>
      </c>
      <c r="G55">
        <v>35</v>
      </c>
      <c r="H55">
        <v>-5</v>
      </c>
      <c r="I55">
        <v>10</v>
      </c>
      <c r="J55">
        <v>24</v>
      </c>
      <c r="K55">
        <v>223</v>
      </c>
      <c r="L55">
        <v>0</v>
      </c>
      <c r="M55">
        <v>7</v>
      </c>
      <c r="N55">
        <v>81</v>
      </c>
    </row>
    <row r="56" spans="1:14" x14ac:dyDescent="0.35">
      <c r="A56" t="s">
        <v>127</v>
      </c>
      <c r="B56" t="s">
        <v>128</v>
      </c>
      <c r="C56" t="s">
        <v>129</v>
      </c>
      <c r="D56">
        <v>2019</v>
      </c>
      <c r="E56">
        <v>98</v>
      </c>
      <c r="F56">
        <v>59</v>
      </c>
      <c r="G56">
        <v>82</v>
      </c>
      <c r="H56">
        <v>-6</v>
      </c>
      <c r="I56">
        <v>15</v>
      </c>
      <c r="J56">
        <v>51</v>
      </c>
      <c r="K56">
        <v>209</v>
      </c>
      <c r="L56">
        <v>69</v>
      </c>
      <c r="M56">
        <v>9</v>
      </c>
      <c r="N56">
        <v>80</v>
      </c>
    </row>
    <row r="57" spans="1:14" x14ac:dyDescent="0.35">
      <c r="A57" t="s">
        <v>130</v>
      </c>
      <c r="B57" t="s">
        <v>131</v>
      </c>
      <c r="C57" t="s">
        <v>41</v>
      </c>
      <c r="D57">
        <v>2018</v>
      </c>
      <c r="E57">
        <v>105</v>
      </c>
      <c r="F57">
        <v>52</v>
      </c>
      <c r="G57">
        <v>77</v>
      </c>
      <c r="H57">
        <v>-4</v>
      </c>
      <c r="I57">
        <v>13</v>
      </c>
      <c r="J57">
        <v>39</v>
      </c>
      <c r="K57">
        <v>217</v>
      </c>
      <c r="L57">
        <v>18</v>
      </c>
      <c r="M57">
        <v>3</v>
      </c>
      <c r="N57">
        <v>80</v>
      </c>
    </row>
    <row r="58" spans="1:14" x14ac:dyDescent="0.35">
      <c r="A58" t="s">
        <v>132</v>
      </c>
      <c r="B58" t="s">
        <v>34</v>
      </c>
      <c r="C58" t="s">
        <v>35</v>
      </c>
      <c r="D58">
        <v>2018</v>
      </c>
      <c r="E58">
        <v>145</v>
      </c>
      <c r="F58">
        <v>58</v>
      </c>
      <c r="G58">
        <v>68</v>
      </c>
      <c r="H58">
        <v>-6</v>
      </c>
      <c r="I58">
        <v>14</v>
      </c>
      <c r="J58">
        <v>34</v>
      </c>
      <c r="K58">
        <v>231</v>
      </c>
      <c r="L58">
        <v>33</v>
      </c>
      <c r="M58">
        <v>4</v>
      </c>
      <c r="N58">
        <v>80</v>
      </c>
    </row>
    <row r="59" spans="1:14" x14ac:dyDescent="0.35">
      <c r="A59" t="s">
        <v>133</v>
      </c>
      <c r="B59" t="s">
        <v>26</v>
      </c>
      <c r="C59" t="s">
        <v>19</v>
      </c>
      <c r="D59">
        <v>2019</v>
      </c>
      <c r="E59">
        <v>102</v>
      </c>
      <c r="F59">
        <v>68</v>
      </c>
      <c r="G59">
        <v>80</v>
      </c>
      <c r="H59">
        <v>-5</v>
      </c>
      <c r="I59">
        <v>9</v>
      </c>
      <c r="J59">
        <v>84</v>
      </c>
      <c r="K59">
        <v>220</v>
      </c>
      <c r="L59">
        <v>9</v>
      </c>
      <c r="M59">
        <v>4</v>
      </c>
      <c r="N59">
        <v>80</v>
      </c>
    </row>
    <row r="60" spans="1:14" x14ac:dyDescent="0.35">
      <c r="A60" t="s">
        <v>134</v>
      </c>
      <c r="B60" t="s">
        <v>135</v>
      </c>
      <c r="C60" t="s">
        <v>136</v>
      </c>
      <c r="D60">
        <v>2017</v>
      </c>
      <c r="E60">
        <v>98</v>
      </c>
      <c r="F60">
        <v>77</v>
      </c>
      <c r="G60">
        <v>73</v>
      </c>
      <c r="H60">
        <v>-5</v>
      </c>
      <c r="I60">
        <v>10</v>
      </c>
      <c r="J60">
        <v>73</v>
      </c>
      <c r="K60">
        <v>234</v>
      </c>
      <c r="L60">
        <v>3</v>
      </c>
      <c r="M60">
        <v>12</v>
      </c>
      <c r="N60">
        <v>80</v>
      </c>
    </row>
    <row r="61" spans="1:14" x14ac:dyDescent="0.35">
      <c r="A61" t="s">
        <v>137</v>
      </c>
      <c r="B61" t="s">
        <v>117</v>
      </c>
      <c r="C61" t="s">
        <v>41</v>
      </c>
      <c r="D61">
        <v>2017</v>
      </c>
      <c r="E61">
        <v>92</v>
      </c>
      <c r="F61">
        <v>37</v>
      </c>
      <c r="G61">
        <v>68</v>
      </c>
      <c r="H61">
        <v>-8</v>
      </c>
      <c r="I61">
        <v>17</v>
      </c>
      <c r="J61">
        <v>48</v>
      </c>
      <c r="K61">
        <v>201</v>
      </c>
      <c r="L61">
        <v>64</v>
      </c>
      <c r="M61">
        <v>4</v>
      </c>
      <c r="N61">
        <v>80</v>
      </c>
    </row>
    <row r="62" spans="1:14" x14ac:dyDescent="0.35">
      <c r="A62" t="s">
        <v>138</v>
      </c>
      <c r="B62" t="s">
        <v>139</v>
      </c>
      <c r="C62" t="s">
        <v>140</v>
      </c>
      <c r="D62">
        <v>2014</v>
      </c>
      <c r="E62">
        <v>102</v>
      </c>
      <c r="F62">
        <v>73</v>
      </c>
      <c r="G62">
        <v>48</v>
      </c>
      <c r="H62">
        <v>-7</v>
      </c>
      <c r="I62">
        <v>15</v>
      </c>
      <c r="J62">
        <v>51</v>
      </c>
      <c r="K62">
        <v>204</v>
      </c>
      <c r="L62">
        <v>43</v>
      </c>
      <c r="M62">
        <v>4</v>
      </c>
      <c r="N62">
        <v>80</v>
      </c>
    </row>
    <row r="63" spans="1:14" x14ac:dyDescent="0.35">
      <c r="A63" t="s">
        <v>141</v>
      </c>
      <c r="B63" t="s">
        <v>142</v>
      </c>
      <c r="C63" t="s">
        <v>41</v>
      </c>
      <c r="D63">
        <v>2016</v>
      </c>
      <c r="E63">
        <v>134</v>
      </c>
      <c r="F63">
        <v>56</v>
      </c>
      <c r="G63">
        <v>85</v>
      </c>
      <c r="H63">
        <v>-5</v>
      </c>
      <c r="I63">
        <v>9</v>
      </c>
      <c r="J63">
        <v>86</v>
      </c>
      <c r="K63">
        <v>207</v>
      </c>
      <c r="L63">
        <v>1</v>
      </c>
      <c r="M63">
        <v>4</v>
      </c>
      <c r="N63">
        <v>80</v>
      </c>
    </row>
    <row r="64" spans="1:14" x14ac:dyDescent="0.35">
      <c r="A64" t="s">
        <v>143</v>
      </c>
      <c r="B64" t="s">
        <v>144</v>
      </c>
      <c r="C64" t="s">
        <v>41</v>
      </c>
      <c r="D64">
        <v>2015</v>
      </c>
      <c r="E64">
        <v>80</v>
      </c>
      <c r="F64">
        <v>48</v>
      </c>
      <c r="G64">
        <v>69</v>
      </c>
      <c r="H64">
        <v>-8</v>
      </c>
      <c r="I64">
        <v>6</v>
      </c>
      <c r="J64">
        <v>28</v>
      </c>
      <c r="K64">
        <v>230</v>
      </c>
      <c r="L64">
        <v>37</v>
      </c>
      <c r="M64">
        <v>8</v>
      </c>
      <c r="N64">
        <v>80</v>
      </c>
    </row>
    <row r="65" spans="1:14" x14ac:dyDescent="0.35">
      <c r="A65" t="s">
        <v>145</v>
      </c>
      <c r="B65" t="s">
        <v>146</v>
      </c>
      <c r="C65" t="s">
        <v>41</v>
      </c>
      <c r="D65">
        <v>2018</v>
      </c>
      <c r="E65">
        <v>124</v>
      </c>
      <c r="F65">
        <v>86</v>
      </c>
      <c r="G65">
        <v>79</v>
      </c>
      <c r="H65">
        <v>-3</v>
      </c>
      <c r="I65">
        <v>8</v>
      </c>
      <c r="J65">
        <v>59</v>
      </c>
      <c r="K65">
        <v>215</v>
      </c>
      <c r="L65">
        <v>4</v>
      </c>
      <c r="M65">
        <v>11</v>
      </c>
      <c r="N65">
        <v>80</v>
      </c>
    </row>
    <row r="66" spans="1:14" x14ac:dyDescent="0.35">
      <c r="A66" t="s">
        <v>147</v>
      </c>
      <c r="B66" t="s">
        <v>69</v>
      </c>
      <c r="C66" t="s">
        <v>29</v>
      </c>
      <c r="D66">
        <v>2016</v>
      </c>
      <c r="E66">
        <v>90</v>
      </c>
      <c r="F66">
        <v>40</v>
      </c>
      <c r="G66">
        <v>73</v>
      </c>
      <c r="H66">
        <v>-9</v>
      </c>
      <c r="I66">
        <v>11</v>
      </c>
      <c r="J66">
        <v>55</v>
      </c>
      <c r="K66">
        <v>196</v>
      </c>
      <c r="L66">
        <v>8</v>
      </c>
      <c r="M66">
        <v>3</v>
      </c>
      <c r="N66">
        <v>80</v>
      </c>
    </row>
    <row r="67" spans="1:14" x14ac:dyDescent="0.35">
      <c r="A67" t="s">
        <v>148</v>
      </c>
      <c r="B67" t="s">
        <v>28</v>
      </c>
      <c r="C67" t="s">
        <v>29</v>
      </c>
      <c r="D67">
        <v>2012</v>
      </c>
      <c r="E67">
        <v>90</v>
      </c>
      <c r="F67">
        <v>71</v>
      </c>
      <c r="G67">
        <v>51</v>
      </c>
      <c r="H67">
        <v>-3</v>
      </c>
      <c r="I67">
        <v>27</v>
      </c>
      <c r="J67">
        <v>43</v>
      </c>
      <c r="K67">
        <v>178</v>
      </c>
      <c r="L67">
        <v>19</v>
      </c>
      <c r="M67">
        <v>3</v>
      </c>
      <c r="N67">
        <v>80</v>
      </c>
    </row>
    <row r="68" spans="1:14" x14ac:dyDescent="0.35">
      <c r="A68" t="s">
        <v>149</v>
      </c>
      <c r="B68" t="s">
        <v>150</v>
      </c>
      <c r="C68" t="s">
        <v>151</v>
      </c>
      <c r="D68">
        <v>2018</v>
      </c>
      <c r="E68">
        <v>120</v>
      </c>
      <c r="F68">
        <v>85</v>
      </c>
      <c r="G68">
        <v>60</v>
      </c>
      <c r="H68">
        <v>-5</v>
      </c>
      <c r="I68">
        <v>12</v>
      </c>
      <c r="J68">
        <v>15</v>
      </c>
      <c r="K68">
        <v>203</v>
      </c>
      <c r="L68">
        <v>2</v>
      </c>
      <c r="M68">
        <v>46</v>
      </c>
      <c r="N68">
        <v>80</v>
      </c>
    </row>
    <row r="69" spans="1:14" x14ac:dyDescent="0.35">
      <c r="A69" t="s">
        <v>152</v>
      </c>
      <c r="B69" t="s">
        <v>153</v>
      </c>
      <c r="C69" t="s">
        <v>154</v>
      </c>
      <c r="D69">
        <v>2019</v>
      </c>
      <c r="E69">
        <v>136</v>
      </c>
      <c r="F69">
        <v>62</v>
      </c>
      <c r="G69">
        <v>88</v>
      </c>
      <c r="H69">
        <v>-6</v>
      </c>
      <c r="I69">
        <v>11</v>
      </c>
      <c r="J69">
        <v>64</v>
      </c>
      <c r="K69">
        <v>157</v>
      </c>
      <c r="L69">
        <v>5</v>
      </c>
      <c r="M69">
        <v>10</v>
      </c>
      <c r="N69">
        <v>80</v>
      </c>
    </row>
    <row r="70" spans="1:14" x14ac:dyDescent="0.35">
      <c r="A70" t="s">
        <v>155</v>
      </c>
      <c r="B70" t="s">
        <v>156</v>
      </c>
      <c r="C70" t="s">
        <v>157</v>
      </c>
      <c r="D70">
        <v>2008</v>
      </c>
      <c r="E70">
        <v>151</v>
      </c>
      <c r="F70">
        <v>46</v>
      </c>
      <c r="G70">
        <v>69</v>
      </c>
      <c r="H70">
        <v>-8</v>
      </c>
      <c r="I70">
        <v>11</v>
      </c>
      <c r="J70">
        <v>72</v>
      </c>
      <c r="K70">
        <v>242</v>
      </c>
      <c r="L70">
        <v>60</v>
      </c>
      <c r="M70">
        <v>5</v>
      </c>
      <c r="N70">
        <v>80</v>
      </c>
    </row>
    <row r="71" spans="1:14" x14ac:dyDescent="0.35">
      <c r="A71" t="s">
        <v>158</v>
      </c>
      <c r="B71" t="s">
        <v>159</v>
      </c>
      <c r="C71" t="s">
        <v>41</v>
      </c>
      <c r="D71">
        <v>2018</v>
      </c>
      <c r="E71">
        <v>100</v>
      </c>
      <c r="F71">
        <v>61</v>
      </c>
      <c r="G71">
        <v>78</v>
      </c>
      <c r="H71">
        <v>-5</v>
      </c>
      <c r="I71">
        <v>13</v>
      </c>
      <c r="J71">
        <v>80</v>
      </c>
      <c r="K71">
        <v>209</v>
      </c>
      <c r="L71">
        <v>11</v>
      </c>
      <c r="M71">
        <v>5</v>
      </c>
      <c r="N71">
        <v>80</v>
      </c>
    </row>
    <row r="72" spans="1:14" x14ac:dyDescent="0.35">
      <c r="A72" t="s">
        <v>160</v>
      </c>
      <c r="B72" t="s">
        <v>106</v>
      </c>
      <c r="C72" t="s">
        <v>41</v>
      </c>
      <c r="D72">
        <v>2017</v>
      </c>
      <c r="E72">
        <v>116</v>
      </c>
      <c r="F72">
        <v>70</v>
      </c>
      <c r="G72">
        <v>76</v>
      </c>
      <c r="H72">
        <v>-6</v>
      </c>
      <c r="I72">
        <v>15</v>
      </c>
      <c r="J72">
        <v>61</v>
      </c>
      <c r="K72">
        <v>209</v>
      </c>
      <c r="L72">
        <v>0</v>
      </c>
      <c r="M72">
        <v>7</v>
      </c>
      <c r="N72">
        <v>79</v>
      </c>
    </row>
    <row r="73" spans="1:14" x14ac:dyDescent="0.35">
      <c r="A73" t="s">
        <v>161</v>
      </c>
      <c r="B73" t="s">
        <v>80</v>
      </c>
      <c r="C73" t="s">
        <v>81</v>
      </c>
      <c r="D73">
        <v>2015</v>
      </c>
      <c r="E73">
        <v>100</v>
      </c>
      <c r="F73">
        <v>76</v>
      </c>
      <c r="G73">
        <v>65</v>
      </c>
      <c r="H73">
        <v>-4</v>
      </c>
      <c r="I73">
        <v>30</v>
      </c>
      <c r="J73">
        <v>41</v>
      </c>
      <c r="K73">
        <v>201</v>
      </c>
      <c r="L73">
        <v>8</v>
      </c>
      <c r="M73">
        <v>5</v>
      </c>
      <c r="N73">
        <v>79</v>
      </c>
    </row>
    <row r="74" spans="1:14" x14ac:dyDescent="0.35">
      <c r="A74" t="s">
        <v>162</v>
      </c>
      <c r="B74" t="s">
        <v>40</v>
      </c>
      <c r="C74" t="s">
        <v>41</v>
      </c>
      <c r="D74">
        <v>2016</v>
      </c>
      <c r="E74">
        <v>160</v>
      </c>
      <c r="F74">
        <v>87</v>
      </c>
      <c r="G74">
        <v>53</v>
      </c>
      <c r="H74">
        <v>-5</v>
      </c>
      <c r="I74">
        <v>14</v>
      </c>
      <c r="J74">
        <v>42</v>
      </c>
      <c r="K74">
        <v>208</v>
      </c>
      <c r="L74">
        <v>16</v>
      </c>
      <c r="M74">
        <v>17</v>
      </c>
      <c r="N74">
        <v>79</v>
      </c>
    </row>
    <row r="75" spans="1:14" x14ac:dyDescent="0.35">
      <c r="A75" t="s">
        <v>163</v>
      </c>
      <c r="B75" t="s">
        <v>164</v>
      </c>
      <c r="C75" t="s">
        <v>165</v>
      </c>
      <c r="D75">
        <v>2016</v>
      </c>
      <c r="E75">
        <v>120</v>
      </c>
      <c r="F75">
        <v>47</v>
      </c>
      <c r="G75">
        <v>77</v>
      </c>
      <c r="H75">
        <v>-6</v>
      </c>
      <c r="I75">
        <v>39</v>
      </c>
      <c r="J75">
        <v>34</v>
      </c>
      <c r="K75">
        <v>237</v>
      </c>
      <c r="L75">
        <v>29</v>
      </c>
      <c r="M75">
        <v>5</v>
      </c>
      <c r="N75">
        <v>79</v>
      </c>
    </row>
    <row r="76" spans="1:14" x14ac:dyDescent="0.35">
      <c r="A76" t="s">
        <v>166</v>
      </c>
      <c r="B76" t="s">
        <v>167</v>
      </c>
      <c r="C76" t="s">
        <v>41</v>
      </c>
      <c r="D76">
        <v>2018</v>
      </c>
      <c r="E76">
        <v>136</v>
      </c>
      <c r="F76">
        <v>73</v>
      </c>
      <c r="G76">
        <v>82</v>
      </c>
      <c r="H76">
        <v>-4</v>
      </c>
      <c r="I76">
        <v>37</v>
      </c>
      <c r="J76">
        <v>65</v>
      </c>
      <c r="K76">
        <v>253</v>
      </c>
      <c r="L76">
        <v>10</v>
      </c>
      <c r="M76">
        <v>13</v>
      </c>
      <c r="N76">
        <v>79</v>
      </c>
    </row>
    <row r="77" spans="1:14" x14ac:dyDescent="0.35">
      <c r="A77" t="s">
        <v>168</v>
      </c>
      <c r="B77" t="s">
        <v>34</v>
      </c>
      <c r="C77" t="s">
        <v>35</v>
      </c>
      <c r="D77">
        <v>2016</v>
      </c>
      <c r="E77">
        <v>144</v>
      </c>
      <c r="F77">
        <v>54</v>
      </c>
      <c r="G77">
        <v>56</v>
      </c>
      <c r="H77">
        <v>-5</v>
      </c>
      <c r="I77">
        <v>20</v>
      </c>
      <c r="J77">
        <v>29</v>
      </c>
      <c r="K77">
        <v>223</v>
      </c>
      <c r="L77">
        <v>7</v>
      </c>
      <c r="M77">
        <v>4</v>
      </c>
      <c r="N77">
        <v>79</v>
      </c>
    </row>
    <row r="78" spans="1:14" x14ac:dyDescent="0.35">
      <c r="A78" t="s">
        <v>169</v>
      </c>
      <c r="B78" t="s">
        <v>159</v>
      </c>
      <c r="C78" t="s">
        <v>41</v>
      </c>
      <c r="D78">
        <v>2016</v>
      </c>
      <c r="E78">
        <v>100</v>
      </c>
      <c r="F78">
        <v>56</v>
      </c>
      <c r="G78">
        <v>73</v>
      </c>
      <c r="H78">
        <v>-8</v>
      </c>
      <c r="I78">
        <v>18</v>
      </c>
      <c r="J78">
        <v>35</v>
      </c>
      <c r="K78">
        <v>218</v>
      </c>
      <c r="L78">
        <v>62</v>
      </c>
      <c r="M78">
        <v>13</v>
      </c>
      <c r="N78">
        <v>79</v>
      </c>
    </row>
    <row r="79" spans="1:14" x14ac:dyDescent="0.35">
      <c r="A79" t="s">
        <v>170</v>
      </c>
      <c r="B79" t="s">
        <v>15</v>
      </c>
      <c r="C79" t="s">
        <v>16</v>
      </c>
      <c r="D79">
        <v>2015</v>
      </c>
      <c r="E79">
        <v>108</v>
      </c>
      <c r="F79">
        <v>77</v>
      </c>
      <c r="G79">
        <v>71</v>
      </c>
      <c r="H79">
        <v>-6</v>
      </c>
      <c r="I79">
        <v>11</v>
      </c>
      <c r="J79">
        <v>58</v>
      </c>
      <c r="K79">
        <v>214</v>
      </c>
      <c r="L79">
        <v>11</v>
      </c>
      <c r="M79">
        <v>4</v>
      </c>
      <c r="N79">
        <v>79</v>
      </c>
    </row>
    <row r="80" spans="1:14" x14ac:dyDescent="0.35">
      <c r="A80" t="s">
        <v>171</v>
      </c>
      <c r="B80" t="s">
        <v>172</v>
      </c>
      <c r="C80" t="s">
        <v>173</v>
      </c>
      <c r="D80">
        <v>2019</v>
      </c>
      <c r="E80">
        <v>178</v>
      </c>
      <c r="F80">
        <v>80</v>
      </c>
      <c r="G80">
        <v>66</v>
      </c>
      <c r="H80">
        <v>-5</v>
      </c>
      <c r="I80">
        <v>7</v>
      </c>
      <c r="J80">
        <v>84</v>
      </c>
      <c r="K80">
        <v>229</v>
      </c>
      <c r="L80">
        <v>20</v>
      </c>
      <c r="M80">
        <v>15</v>
      </c>
      <c r="N80">
        <v>78</v>
      </c>
    </row>
    <row r="81" spans="1:14" x14ac:dyDescent="0.35">
      <c r="A81" t="s">
        <v>174</v>
      </c>
      <c r="B81" t="s">
        <v>34</v>
      </c>
      <c r="C81" t="s">
        <v>35</v>
      </c>
      <c r="D81">
        <v>2018</v>
      </c>
      <c r="E81">
        <v>140</v>
      </c>
      <c r="F81">
        <v>56</v>
      </c>
      <c r="G81">
        <v>75</v>
      </c>
      <c r="H81">
        <v>-8</v>
      </c>
      <c r="I81">
        <v>11</v>
      </c>
      <c r="J81">
        <v>46</v>
      </c>
      <c r="K81">
        <v>221</v>
      </c>
      <c r="L81">
        <v>55</v>
      </c>
      <c r="M81">
        <v>11</v>
      </c>
      <c r="N81">
        <v>78</v>
      </c>
    </row>
    <row r="82" spans="1:14" x14ac:dyDescent="0.35">
      <c r="A82" t="s">
        <v>175</v>
      </c>
      <c r="B82" t="s">
        <v>101</v>
      </c>
      <c r="C82" t="s">
        <v>81</v>
      </c>
      <c r="D82">
        <v>2015</v>
      </c>
      <c r="E82">
        <v>150</v>
      </c>
      <c r="F82">
        <v>75</v>
      </c>
      <c r="G82">
        <v>75</v>
      </c>
      <c r="H82">
        <v>-7</v>
      </c>
      <c r="I82">
        <v>5</v>
      </c>
      <c r="J82">
        <v>75</v>
      </c>
      <c r="K82">
        <v>207</v>
      </c>
      <c r="L82">
        <v>2</v>
      </c>
      <c r="M82">
        <v>7</v>
      </c>
      <c r="N82">
        <v>77</v>
      </c>
    </row>
    <row r="83" spans="1:14" x14ac:dyDescent="0.35">
      <c r="A83" t="s">
        <v>176</v>
      </c>
      <c r="B83" t="s">
        <v>80</v>
      </c>
      <c r="C83" t="s">
        <v>81</v>
      </c>
      <c r="D83">
        <v>2015</v>
      </c>
      <c r="E83">
        <v>125</v>
      </c>
      <c r="F83">
        <v>57</v>
      </c>
      <c r="G83">
        <v>85</v>
      </c>
      <c r="H83">
        <v>-8</v>
      </c>
      <c r="I83">
        <v>8</v>
      </c>
      <c r="J83">
        <v>79</v>
      </c>
      <c r="K83">
        <v>206</v>
      </c>
      <c r="L83">
        <v>59</v>
      </c>
      <c r="M83">
        <v>10</v>
      </c>
      <c r="N83">
        <v>77</v>
      </c>
    </row>
    <row r="84" spans="1:14" x14ac:dyDescent="0.35">
      <c r="A84" t="s">
        <v>177</v>
      </c>
      <c r="B84" t="s">
        <v>178</v>
      </c>
      <c r="C84" t="s">
        <v>179</v>
      </c>
      <c r="D84">
        <v>1995</v>
      </c>
      <c r="E84">
        <v>174</v>
      </c>
      <c r="F84">
        <v>90</v>
      </c>
      <c r="G84">
        <v>38</v>
      </c>
      <c r="H84">
        <v>-4</v>
      </c>
      <c r="I84">
        <v>19</v>
      </c>
      <c r="J84">
        <v>47</v>
      </c>
      <c r="K84">
        <v>259</v>
      </c>
      <c r="L84">
        <v>0</v>
      </c>
      <c r="M84">
        <v>4</v>
      </c>
      <c r="N84">
        <v>77</v>
      </c>
    </row>
    <row r="85" spans="1:14" x14ac:dyDescent="0.35">
      <c r="A85" t="s">
        <v>180</v>
      </c>
      <c r="B85" t="s">
        <v>28</v>
      </c>
      <c r="C85" t="s">
        <v>29</v>
      </c>
      <c r="D85">
        <v>2012</v>
      </c>
      <c r="E85">
        <v>136</v>
      </c>
      <c r="F85">
        <v>78</v>
      </c>
      <c r="G85">
        <v>45</v>
      </c>
      <c r="H85">
        <v>-4</v>
      </c>
      <c r="I85">
        <v>67</v>
      </c>
      <c r="J85">
        <v>24</v>
      </c>
      <c r="K85">
        <v>187</v>
      </c>
      <c r="L85">
        <v>11</v>
      </c>
      <c r="M85">
        <v>6</v>
      </c>
      <c r="N85">
        <v>76</v>
      </c>
    </row>
    <row r="86" spans="1:14" x14ac:dyDescent="0.35">
      <c r="A86" t="s">
        <v>181</v>
      </c>
      <c r="B86" t="s">
        <v>182</v>
      </c>
      <c r="C86" t="s">
        <v>32</v>
      </c>
      <c r="D86">
        <v>2018</v>
      </c>
      <c r="E86">
        <v>89</v>
      </c>
      <c r="F86">
        <v>68</v>
      </c>
      <c r="G86">
        <v>56</v>
      </c>
      <c r="H86">
        <v>-8</v>
      </c>
      <c r="I86">
        <v>12</v>
      </c>
      <c r="J86">
        <v>32</v>
      </c>
      <c r="K86">
        <v>174</v>
      </c>
      <c r="L86">
        <v>56</v>
      </c>
      <c r="M86">
        <v>32</v>
      </c>
      <c r="N86">
        <v>76</v>
      </c>
    </row>
    <row r="87" spans="1:14" x14ac:dyDescent="0.35">
      <c r="A87" t="s">
        <v>183</v>
      </c>
      <c r="B87" t="s">
        <v>184</v>
      </c>
      <c r="C87" t="s">
        <v>41</v>
      </c>
      <c r="D87">
        <v>2015</v>
      </c>
      <c r="E87">
        <v>118</v>
      </c>
      <c r="F87">
        <v>69</v>
      </c>
      <c r="G87">
        <v>78</v>
      </c>
      <c r="H87">
        <v>-6</v>
      </c>
      <c r="I87">
        <v>16</v>
      </c>
      <c r="J87">
        <v>60</v>
      </c>
      <c r="K87">
        <v>181</v>
      </c>
      <c r="L87">
        <v>17</v>
      </c>
      <c r="M87">
        <v>3</v>
      </c>
      <c r="N87">
        <v>76</v>
      </c>
    </row>
    <row r="88" spans="1:14" x14ac:dyDescent="0.35">
      <c r="A88" t="s">
        <v>185</v>
      </c>
      <c r="B88" t="s">
        <v>186</v>
      </c>
      <c r="C88" t="s">
        <v>187</v>
      </c>
      <c r="D88">
        <v>2016</v>
      </c>
      <c r="E88">
        <v>90</v>
      </c>
      <c r="F88">
        <v>70</v>
      </c>
      <c r="G88">
        <v>63</v>
      </c>
      <c r="H88">
        <v>-6</v>
      </c>
      <c r="I88">
        <v>9</v>
      </c>
      <c r="J88">
        <v>73</v>
      </c>
      <c r="K88">
        <v>212</v>
      </c>
      <c r="L88">
        <v>5</v>
      </c>
      <c r="M88">
        <v>11</v>
      </c>
      <c r="N88">
        <v>75</v>
      </c>
    </row>
    <row r="89" spans="1:14" x14ac:dyDescent="0.35">
      <c r="A89" t="s">
        <v>188</v>
      </c>
      <c r="B89" t="s">
        <v>38</v>
      </c>
      <c r="C89" t="s">
        <v>19</v>
      </c>
      <c r="D89">
        <v>2018</v>
      </c>
      <c r="E89">
        <v>125</v>
      </c>
      <c r="F89">
        <v>54</v>
      </c>
      <c r="G89">
        <v>85</v>
      </c>
      <c r="H89">
        <v>-7</v>
      </c>
      <c r="I89">
        <v>13</v>
      </c>
      <c r="J89">
        <v>45</v>
      </c>
      <c r="K89">
        <v>236</v>
      </c>
      <c r="L89">
        <v>57</v>
      </c>
      <c r="M89">
        <v>5</v>
      </c>
      <c r="N89">
        <v>74</v>
      </c>
    </row>
    <row r="90" spans="1:14" x14ac:dyDescent="0.35">
      <c r="A90" t="s">
        <v>189</v>
      </c>
      <c r="B90" t="s">
        <v>190</v>
      </c>
      <c r="C90" t="s">
        <v>191</v>
      </c>
      <c r="D90">
        <v>2015</v>
      </c>
      <c r="E90">
        <v>90</v>
      </c>
      <c r="F90">
        <v>65</v>
      </c>
      <c r="G90">
        <v>59</v>
      </c>
      <c r="H90">
        <v>-5</v>
      </c>
      <c r="I90">
        <v>11</v>
      </c>
      <c r="J90">
        <v>17</v>
      </c>
      <c r="K90">
        <v>213</v>
      </c>
      <c r="L90">
        <v>3</v>
      </c>
      <c r="M90">
        <v>3</v>
      </c>
      <c r="N90">
        <v>72</v>
      </c>
    </row>
    <row r="91" spans="1:14" x14ac:dyDescent="0.35">
      <c r="A91" t="s">
        <v>192</v>
      </c>
      <c r="B91" t="s">
        <v>193</v>
      </c>
      <c r="C91" t="s">
        <v>140</v>
      </c>
      <c r="D91">
        <v>2013</v>
      </c>
      <c r="E91">
        <v>76</v>
      </c>
      <c r="F91">
        <v>54</v>
      </c>
      <c r="G91">
        <v>45</v>
      </c>
      <c r="H91">
        <v>-7</v>
      </c>
      <c r="I91">
        <v>11</v>
      </c>
      <c r="J91">
        <v>22</v>
      </c>
      <c r="K91">
        <v>253</v>
      </c>
      <c r="L91">
        <v>36</v>
      </c>
      <c r="M91">
        <v>7</v>
      </c>
      <c r="N91">
        <v>72</v>
      </c>
    </row>
    <row r="92" spans="1:14" x14ac:dyDescent="0.35">
      <c r="A92" t="s">
        <v>194</v>
      </c>
      <c r="B92" t="s">
        <v>195</v>
      </c>
      <c r="C92" t="s">
        <v>41</v>
      </c>
      <c r="D92">
        <v>2016</v>
      </c>
      <c r="E92">
        <v>113</v>
      </c>
      <c r="F92">
        <v>83</v>
      </c>
      <c r="G92">
        <v>67</v>
      </c>
      <c r="H92">
        <v>-6</v>
      </c>
      <c r="I92">
        <v>10</v>
      </c>
      <c r="J92">
        <v>70</v>
      </c>
      <c r="K92">
        <v>238</v>
      </c>
      <c r="L92">
        <v>1</v>
      </c>
      <c r="M92">
        <v>7</v>
      </c>
      <c r="N92">
        <v>72</v>
      </c>
    </row>
    <row r="93" spans="1:14" x14ac:dyDescent="0.35">
      <c r="A93" t="s">
        <v>196</v>
      </c>
      <c r="B93" t="s">
        <v>197</v>
      </c>
      <c r="C93" t="s">
        <v>41</v>
      </c>
      <c r="D93">
        <v>2015</v>
      </c>
      <c r="E93">
        <v>98</v>
      </c>
      <c r="F93">
        <v>81</v>
      </c>
      <c r="G93">
        <v>72</v>
      </c>
      <c r="H93">
        <v>-3</v>
      </c>
      <c r="I93">
        <v>56</v>
      </c>
      <c r="J93">
        <v>27</v>
      </c>
      <c r="K93">
        <v>177</v>
      </c>
      <c r="L93">
        <v>0</v>
      </c>
      <c r="M93">
        <v>6</v>
      </c>
      <c r="N93">
        <v>71</v>
      </c>
    </row>
    <row r="94" spans="1:14" x14ac:dyDescent="0.35">
      <c r="A94" t="s">
        <v>198</v>
      </c>
      <c r="B94" t="s">
        <v>172</v>
      </c>
      <c r="C94" t="s">
        <v>173</v>
      </c>
      <c r="D94">
        <v>2019</v>
      </c>
      <c r="E94">
        <v>178</v>
      </c>
      <c r="F94">
        <v>80</v>
      </c>
      <c r="G94">
        <v>65</v>
      </c>
      <c r="H94">
        <v>-4</v>
      </c>
      <c r="I94">
        <v>7</v>
      </c>
      <c r="J94">
        <v>86</v>
      </c>
      <c r="K94">
        <v>230</v>
      </c>
      <c r="L94">
        <v>23</v>
      </c>
      <c r="M94">
        <v>18</v>
      </c>
      <c r="N94">
        <v>70</v>
      </c>
    </row>
    <row r="95" spans="1:14" x14ac:dyDescent="0.35">
      <c r="A95" t="s">
        <v>199</v>
      </c>
      <c r="B95" t="s">
        <v>200</v>
      </c>
      <c r="C95" t="s">
        <v>201</v>
      </c>
      <c r="D95">
        <v>2014</v>
      </c>
      <c r="E95">
        <v>171</v>
      </c>
      <c r="F95">
        <v>74</v>
      </c>
      <c r="G95">
        <v>69</v>
      </c>
      <c r="H95">
        <v>-5</v>
      </c>
      <c r="I95">
        <v>37</v>
      </c>
      <c r="J95">
        <v>6</v>
      </c>
      <c r="K95">
        <v>321</v>
      </c>
      <c r="L95">
        <v>1</v>
      </c>
      <c r="M95">
        <v>27</v>
      </c>
      <c r="N95">
        <v>70</v>
      </c>
    </row>
    <row r="96" spans="1:14" x14ac:dyDescent="0.35">
      <c r="A96" t="s">
        <v>202</v>
      </c>
      <c r="B96" t="s">
        <v>203</v>
      </c>
      <c r="C96" t="s">
        <v>41</v>
      </c>
      <c r="D96">
        <v>2019</v>
      </c>
      <c r="E96">
        <v>136</v>
      </c>
      <c r="F96">
        <v>51</v>
      </c>
      <c r="G96">
        <v>74</v>
      </c>
      <c r="H96">
        <v>-6</v>
      </c>
      <c r="I96">
        <v>18</v>
      </c>
      <c r="J96">
        <v>45</v>
      </c>
      <c r="K96">
        <v>229</v>
      </c>
      <c r="L96">
        <v>36</v>
      </c>
      <c r="M96">
        <v>7</v>
      </c>
      <c r="N96">
        <v>67</v>
      </c>
    </row>
    <row r="97" spans="1:14" x14ac:dyDescent="0.35">
      <c r="A97" t="s">
        <v>204</v>
      </c>
      <c r="B97" t="s">
        <v>103</v>
      </c>
      <c r="C97" t="s">
        <v>104</v>
      </c>
      <c r="D97">
        <v>2016</v>
      </c>
      <c r="E97">
        <v>104</v>
      </c>
      <c r="F97">
        <v>61</v>
      </c>
      <c r="G97">
        <v>79</v>
      </c>
      <c r="H97">
        <v>-6</v>
      </c>
      <c r="I97">
        <v>32</v>
      </c>
      <c r="J97">
        <v>43</v>
      </c>
      <c r="K97">
        <v>174</v>
      </c>
      <c r="L97">
        <v>1</v>
      </c>
      <c r="M97">
        <v>6</v>
      </c>
      <c r="N97">
        <v>66</v>
      </c>
    </row>
    <row r="98" spans="1:14" x14ac:dyDescent="0.35">
      <c r="A98" t="s">
        <v>205</v>
      </c>
      <c r="B98" t="s">
        <v>38</v>
      </c>
      <c r="C98" t="s">
        <v>19</v>
      </c>
      <c r="D98">
        <v>2015</v>
      </c>
      <c r="E98">
        <v>120</v>
      </c>
      <c r="F98">
        <v>79</v>
      </c>
      <c r="G98">
        <v>75</v>
      </c>
      <c r="H98">
        <v>-7</v>
      </c>
      <c r="I98">
        <v>9</v>
      </c>
      <c r="J98">
        <v>88</v>
      </c>
      <c r="K98">
        <v>235</v>
      </c>
      <c r="L98">
        <v>6</v>
      </c>
      <c r="M98">
        <v>3</v>
      </c>
      <c r="N98">
        <v>66</v>
      </c>
    </row>
    <row r="99" spans="1:14" x14ac:dyDescent="0.35">
      <c r="A99" t="s">
        <v>206</v>
      </c>
      <c r="B99" t="s">
        <v>207</v>
      </c>
      <c r="C99" t="s">
        <v>208</v>
      </c>
      <c r="D99">
        <v>2021</v>
      </c>
      <c r="E99">
        <v>126</v>
      </c>
      <c r="F99">
        <v>83</v>
      </c>
      <c r="G99">
        <v>66</v>
      </c>
      <c r="H99">
        <v>-5</v>
      </c>
      <c r="I99">
        <v>40</v>
      </c>
      <c r="J99">
        <v>74</v>
      </c>
      <c r="K99">
        <v>172</v>
      </c>
      <c r="L99">
        <v>5</v>
      </c>
      <c r="M99">
        <v>29</v>
      </c>
      <c r="N99">
        <v>66</v>
      </c>
    </row>
    <row r="100" spans="1:14" x14ac:dyDescent="0.35">
      <c r="A100" t="s">
        <v>209</v>
      </c>
      <c r="B100" t="s">
        <v>197</v>
      </c>
      <c r="C100" t="s">
        <v>41</v>
      </c>
      <c r="D100">
        <v>2018</v>
      </c>
      <c r="E100">
        <v>93</v>
      </c>
      <c r="F100">
        <v>80</v>
      </c>
      <c r="G100">
        <v>61</v>
      </c>
      <c r="H100">
        <v>-5</v>
      </c>
      <c r="I100">
        <v>16</v>
      </c>
      <c r="J100">
        <v>50</v>
      </c>
      <c r="K100">
        <v>185</v>
      </c>
      <c r="L100">
        <v>7</v>
      </c>
      <c r="M100">
        <v>4</v>
      </c>
      <c r="N100">
        <v>56</v>
      </c>
    </row>
    <row r="101" spans="1:14" x14ac:dyDescent="0.35">
      <c r="A101" t="s">
        <v>210</v>
      </c>
      <c r="B101" t="s">
        <v>211</v>
      </c>
      <c r="C101" t="s">
        <v>41</v>
      </c>
      <c r="D101">
        <v>2016</v>
      </c>
      <c r="E101">
        <v>102</v>
      </c>
      <c r="F101">
        <v>73</v>
      </c>
      <c r="G101">
        <v>67</v>
      </c>
      <c r="H101">
        <v>-7</v>
      </c>
      <c r="I101">
        <v>9</v>
      </c>
      <c r="J101">
        <v>66</v>
      </c>
      <c r="K101">
        <v>198</v>
      </c>
      <c r="L101">
        <v>3</v>
      </c>
      <c r="M101">
        <v>10</v>
      </c>
      <c r="N101">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802D-0701-43E9-9140-585FB727A647}">
  <dimension ref="A3:G32"/>
  <sheetViews>
    <sheetView topLeftCell="A19" workbookViewId="0">
      <selection activeCell="B30" sqref="B30"/>
    </sheetView>
  </sheetViews>
  <sheetFormatPr defaultRowHeight="14.5" x14ac:dyDescent="0.35"/>
  <cols>
    <col min="1" max="1" width="12.453125" bestFit="1" customWidth="1"/>
    <col min="2" max="2" width="15.08984375" bestFit="1" customWidth="1"/>
    <col min="3" max="3" width="20.36328125" bestFit="1" customWidth="1"/>
    <col min="4" max="4" width="16.7265625" bestFit="1" customWidth="1"/>
    <col min="5" max="5" width="16.36328125" bestFit="1" customWidth="1"/>
    <col min="6" max="6" width="21.08984375" bestFit="1" customWidth="1"/>
    <col min="7" max="7" width="20.453125" bestFit="1" customWidth="1"/>
    <col min="8" max="51" width="2.81640625" bestFit="1" customWidth="1"/>
    <col min="52" max="52" width="10.36328125" bestFit="1" customWidth="1"/>
  </cols>
  <sheetData>
    <row r="3" spans="1:7" x14ac:dyDescent="0.35">
      <c r="A3" s="1" t="s">
        <v>212</v>
      </c>
      <c r="B3" t="s">
        <v>214</v>
      </c>
      <c r="C3" t="s">
        <v>215</v>
      </c>
      <c r="D3" t="s">
        <v>216</v>
      </c>
      <c r="E3" t="s">
        <v>217</v>
      </c>
      <c r="F3" t="s">
        <v>218</v>
      </c>
      <c r="G3" t="s">
        <v>219</v>
      </c>
    </row>
    <row r="4" spans="1:7" x14ac:dyDescent="0.35">
      <c r="A4" s="2" t="s">
        <v>220</v>
      </c>
      <c r="B4">
        <v>40</v>
      </c>
      <c r="C4">
        <v>41</v>
      </c>
      <c r="D4">
        <v>30</v>
      </c>
      <c r="E4">
        <v>22</v>
      </c>
      <c r="F4">
        <v>27</v>
      </c>
      <c r="G4">
        <v>5</v>
      </c>
    </row>
    <row r="5" spans="1:7" x14ac:dyDescent="0.35">
      <c r="A5" s="2" t="s">
        <v>221</v>
      </c>
      <c r="B5">
        <v>90</v>
      </c>
      <c r="C5">
        <v>38</v>
      </c>
      <c r="D5">
        <v>19</v>
      </c>
      <c r="E5">
        <v>47</v>
      </c>
      <c r="F5">
        <v>0</v>
      </c>
      <c r="G5">
        <v>4</v>
      </c>
    </row>
    <row r="6" spans="1:7" x14ac:dyDescent="0.35">
      <c r="A6" s="2" t="s">
        <v>222</v>
      </c>
      <c r="B6" s="3">
        <v>68.5</v>
      </c>
      <c r="C6">
        <v>52</v>
      </c>
      <c r="D6">
        <v>10.5</v>
      </c>
      <c r="E6">
        <v>48</v>
      </c>
      <c r="F6">
        <v>30</v>
      </c>
      <c r="G6">
        <v>6</v>
      </c>
    </row>
    <row r="7" spans="1:7" x14ac:dyDescent="0.35">
      <c r="A7" s="2" t="s">
        <v>223</v>
      </c>
      <c r="B7" s="3">
        <v>62.510416666666664</v>
      </c>
      <c r="C7" s="3">
        <v>67.84375</v>
      </c>
      <c r="D7" s="3">
        <v>16.833333333333332</v>
      </c>
      <c r="E7" s="3">
        <v>50.333333333333336</v>
      </c>
      <c r="F7" s="3">
        <v>25.083333333333332</v>
      </c>
      <c r="G7" s="3">
        <v>10.125</v>
      </c>
    </row>
    <row r="8" spans="1:7" x14ac:dyDescent="0.35">
      <c r="A8" s="2" t="s">
        <v>213</v>
      </c>
      <c r="B8" s="3">
        <v>62.68</v>
      </c>
      <c r="C8" s="3">
        <v>66.959999999999994</v>
      </c>
      <c r="D8" s="3">
        <v>16.86</v>
      </c>
      <c r="E8" s="3">
        <v>49.97</v>
      </c>
      <c r="F8" s="3">
        <v>24.95</v>
      </c>
      <c r="G8" s="3">
        <v>9.93</v>
      </c>
    </row>
    <row r="11" spans="1:7" x14ac:dyDescent="0.35">
      <c r="A11" s="1" t="s">
        <v>212</v>
      </c>
      <c r="B11" t="s">
        <v>225</v>
      </c>
    </row>
    <row r="12" spans="1:7" x14ac:dyDescent="0.35">
      <c r="A12" s="2" t="s">
        <v>220</v>
      </c>
      <c r="B12">
        <v>71</v>
      </c>
    </row>
    <row r="13" spans="1:7" x14ac:dyDescent="0.35">
      <c r="A13" s="2" t="s">
        <v>221</v>
      </c>
      <c r="B13">
        <v>174</v>
      </c>
    </row>
    <row r="14" spans="1:7" x14ac:dyDescent="0.35">
      <c r="A14" s="2" t="s">
        <v>222</v>
      </c>
      <c r="B14" s="3">
        <v>149.5</v>
      </c>
    </row>
    <row r="15" spans="1:7" x14ac:dyDescent="0.35">
      <c r="A15" s="2" t="s">
        <v>223</v>
      </c>
      <c r="B15" s="3">
        <v>116.17708333333333</v>
      </c>
    </row>
    <row r="16" spans="1:7" x14ac:dyDescent="0.35">
      <c r="A16" s="2" t="s">
        <v>213</v>
      </c>
      <c r="B16" s="3">
        <v>116.97</v>
      </c>
    </row>
    <row r="19" spans="1:2" x14ac:dyDescent="0.35">
      <c r="A19" s="1" t="s">
        <v>212</v>
      </c>
      <c r="B19" t="s">
        <v>224</v>
      </c>
    </row>
    <row r="20" spans="1:2" x14ac:dyDescent="0.35">
      <c r="A20" s="2" t="s">
        <v>220</v>
      </c>
      <c r="B20">
        <v>-10</v>
      </c>
    </row>
    <row r="21" spans="1:2" x14ac:dyDescent="0.35">
      <c r="A21" s="2" t="s">
        <v>221</v>
      </c>
      <c r="B21">
        <v>-4</v>
      </c>
    </row>
    <row r="22" spans="1:2" x14ac:dyDescent="0.35">
      <c r="A22" s="2" t="s">
        <v>222</v>
      </c>
      <c r="B22" s="3">
        <v>-6.5</v>
      </c>
    </row>
    <row r="23" spans="1:2" x14ac:dyDescent="0.35">
      <c r="A23" s="2" t="s">
        <v>223</v>
      </c>
      <c r="B23" s="3">
        <v>-6.072916666666667</v>
      </c>
    </row>
    <row r="24" spans="1:2" x14ac:dyDescent="0.35">
      <c r="A24" s="2" t="s">
        <v>213</v>
      </c>
      <c r="B24" s="3">
        <v>-6.1</v>
      </c>
    </row>
    <row r="27" spans="1:2" x14ac:dyDescent="0.35">
      <c r="A27" s="1" t="s">
        <v>212</v>
      </c>
      <c r="B27" t="s">
        <v>226</v>
      </c>
    </row>
    <row r="28" spans="1:2" x14ac:dyDescent="0.35">
      <c r="A28" s="2" t="s">
        <v>220</v>
      </c>
      <c r="B28">
        <v>354</v>
      </c>
    </row>
    <row r="29" spans="1:2" x14ac:dyDescent="0.35">
      <c r="A29" s="2" t="s">
        <v>221</v>
      </c>
      <c r="B29">
        <v>259</v>
      </c>
    </row>
    <row r="30" spans="1:2" x14ac:dyDescent="0.35">
      <c r="A30" s="2" t="s">
        <v>222</v>
      </c>
      <c r="B30" s="3">
        <v>232.5</v>
      </c>
    </row>
    <row r="31" spans="1:2" x14ac:dyDescent="0.35">
      <c r="A31" s="2" t="s">
        <v>223</v>
      </c>
      <c r="B31" s="3">
        <v>212.23958333333334</v>
      </c>
    </row>
    <row r="32" spans="1:2" x14ac:dyDescent="0.35">
      <c r="A32" s="2" t="s">
        <v>213</v>
      </c>
      <c r="B32" s="3">
        <v>214.53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93D8-B542-4BB5-95FE-36E4B01D7558}">
  <dimension ref="A1"/>
  <sheetViews>
    <sheetView showGridLines="0" tabSelected="1" topLeftCell="C4" workbookViewId="0">
      <selection activeCell="V3" sqref="V3"/>
    </sheetView>
  </sheetViews>
  <sheetFormatPr defaultRowHeight="14.5" x14ac:dyDescent="0.35"/>
  <cols>
    <col min="1" max="16384" width="8.7265625" style="4"/>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DB92F5-5461-48BF-A9EB-C86AC56313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 100 most Streamed - Sheet1</vt:lpstr>
      <vt:lpstr>Staging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Adu-Twum</dc:creator>
  <cp:lastModifiedBy>Ralph Adu-Twum</cp:lastModifiedBy>
  <dcterms:created xsi:type="dcterms:W3CDTF">2026-04-01T14:31:19Z</dcterms:created>
  <dcterms:modified xsi:type="dcterms:W3CDTF">2026-04-02T17:18:17Z</dcterms:modified>
</cp:coreProperties>
</file>